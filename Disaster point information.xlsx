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k\Desktop\"/>
    </mc:Choice>
  </mc:AlternateContent>
  <xr:revisionPtr revIDLastSave="0" documentId="13_ncr:1_{4B1701AA-F190-4DA7-8845-2DB8F3FCCDCB}" xr6:coauthVersionLast="47" xr6:coauthVersionMax="47" xr10:uidLastSave="{00000000-0000-0000-0000-000000000000}"/>
  <bookViews>
    <workbookView xWindow="-108" yWindow="-108" windowWidth="30936" windowHeight="16776" xr2:uid="{3A9CE7C8-678C-4FC0-82C2-674CBCA6F8B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2" i="2"/>
  <c r="E7" i="2"/>
  <c r="F7" i="2"/>
  <c r="F3" i="2"/>
  <c r="F4" i="2"/>
  <c r="F5" i="2"/>
  <c r="F6" i="2"/>
  <c r="F2" i="2"/>
  <c r="E3" i="2"/>
  <c r="E4" i="2"/>
  <c r="E5" i="2"/>
  <c r="E6" i="2"/>
  <c r="E2" i="2"/>
  <c r="D7" i="2"/>
  <c r="C7" i="2"/>
</calcChain>
</file>

<file path=xl/sharedStrings.xml><?xml version="1.0" encoding="utf-8"?>
<sst xmlns="http://schemas.openxmlformats.org/spreadsheetml/2006/main" count="8841" uniqueCount="1142">
  <si>
    <t>FID</t>
  </si>
  <si>
    <t>Shape *</t>
  </si>
  <si>
    <t>FID_雅安</t>
  </si>
  <si>
    <t>灾害体</t>
  </si>
  <si>
    <t>灾害_1</t>
  </si>
  <si>
    <t>灾害_12</t>
  </si>
  <si>
    <t>灾害__13</t>
  </si>
  <si>
    <t>野外编</t>
  </si>
  <si>
    <t>室内编</t>
  </si>
  <si>
    <t>省</t>
  </si>
  <si>
    <t>地理位</t>
  </si>
  <si>
    <t>坡顶最</t>
  </si>
  <si>
    <t>坡底最</t>
  </si>
  <si>
    <t>治理情</t>
  </si>
  <si>
    <t>地下水</t>
  </si>
  <si>
    <t>构造部</t>
  </si>
  <si>
    <t>地震烈</t>
  </si>
  <si>
    <t>目前稳</t>
  </si>
  <si>
    <t>今后变</t>
  </si>
  <si>
    <t>威胁人</t>
  </si>
  <si>
    <t>威胁财</t>
  </si>
  <si>
    <t>灾害等</t>
  </si>
  <si>
    <t>险情等</t>
  </si>
  <si>
    <t>防治建</t>
  </si>
  <si>
    <t>隐患点</t>
  </si>
  <si>
    <t>监测建</t>
  </si>
  <si>
    <t>毁坏房</t>
  </si>
  <si>
    <t>点</t>
  </si>
  <si>
    <t>崩塌</t>
  </si>
  <si>
    <t>付家岩崩塌</t>
  </si>
  <si>
    <t>四川省</t>
  </si>
  <si>
    <t xml:space="preserve"> </t>
  </si>
  <si>
    <t>四川省汉源县鸟似河乡万里村1社</t>
  </si>
  <si>
    <t>裂隙水</t>
  </si>
  <si>
    <t>王帽山断裂带</t>
  </si>
  <si>
    <t>Ⅷ</t>
  </si>
  <si>
    <t>较差</t>
  </si>
  <si>
    <t>小型</t>
  </si>
  <si>
    <t>大型</t>
  </si>
  <si>
    <t>群测群防</t>
  </si>
  <si>
    <t>定期目视检查</t>
  </si>
  <si>
    <t>泥石流</t>
  </si>
  <si>
    <t>落家沟泥石流</t>
  </si>
  <si>
    <t>N018</t>
  </si>
  <si>
    <t>四川省雅安市汉源县河南乡河南村</t>
  </si>
  <si>
    <t>冷家沟泥石流</t>
  </si>
  <si>
    <t>四川省汉源县富林乡广源村1社</t>
  </si>
  <si>
    <t>Ⅶ</t>
  </si>
  <si>
    <t>群测群防$工程治理</t>
  </si>
  <si>
    <t>雨情</t>
  </si>
  <si>
    <t>洛家沟泥石流</t>
  </si>
  <si>
    <t>四川省汉源县河南乡河南村7、8社</t>
  </si>
  <si>
    <t>中型</t>
  </si>
  <si>
    <t>滑坡</t>
  </si>
  <si>
    <t>龙马铺滑坡</t>
  </si>
  <si>
    <t>H108</t>
  </si>
  <si>
    <t>四川省雅安市汉源县河南乡植树村</t>
  </si>
  <si>
    <t>罗马铺滑坡</t>
  </si>
  <si>
    <t>四川省汉源县河南乡柏树村1社</t>
  </si>
  <si>
    <t>孔隙水</t>
  </si>
  <si>
    <t>粉质粘土</t>
  </si>
  <si>
    <t>C</t>
  </si>
  <si>
    <t>青草沟滑坡</t>
  </si>
  <si>
    <t>H112</t>
  </si>
  <si>
    <t>四川省雅安市汉源县河南乡盐井村</t>
  </si>
  <si>
    <t>青草坪滑坡</t>
  </si>
  <si>
    <t>四川省汉源县河南乡沿井村1社</t>
  </si>
  <si>
    <t>孔隙水$潜水</t>
  </si>
  <si>
    <t>但斜构造</t>
  </si>
  <si>
    <t>大地头滑坡</t>
  </si>
  <si>
    <t>H111</t>
  </si>
  <si>
    <t>阳洞坎危岩</t>
  </si>
  <si>
    <t>四川省汉源县片马乡富银村2、4、5村</t>
  </si>
  <si>
    <t>差</t>
  </si>
  <si>
    <t>洋汉坝危岩</t>
  </si>
  <si>
    <t>B016</t>
  </si>
  <si>
    <t>四川省雅安市汉源县片马乡富银村</t>
  </si>
  <si>
    <t>四川省汉源县河南乡沿井村2社</t>
  </si>
  <si>
    <t>香树湾滑坡</t>
  </si>
  <si>
    <t>H110</t>
  </si>
  <si>
    <t>四川省汉源县河南乡盐井村3社</t>
  </si>
  <si>
    <t>砂岩</t>
  </si>
  <si>
    <t>斗骡子滑坡</t>
  </si>
  <si>
    <t>四川省汉源县片马乡万坪村8社</t>
  </si>
  <si>
    <t>单斜</t>
  </si>
  <si>
    <t>群测群防$搬迁避让</t>
  </si>
  <si>
    <t>万坪村八组滑坡</t>
  </si>
  <si>
    <t>H106</t>
  </si>
  <si>
    <t>四川省雅安市汉源县片马乡万坪村</t>
  </si>
  <si>
    <t>血子槽滑坡</t>
  </si>
  <si>
    <t>H072</t>
  </si>
  <si>
    <t>四川省雅安市汉源县顺河乡党托村</t>
  </si>
  <si>
    <t>耳子槽滑坡</t>
  </si>
  <si>
    <t>四川省汉源县顺河乡觉托村1社</t>
  </si>
  <si>
    <t>块碎石土</t>
  </si>
  <si>
    <t>庙儿岗滑坡</t>
  </si>
  <si>
    <t>H105</t>
  </si>
  <si>
    <t>四川省汉源县片马乡言银村8社</t>
  </si>
  <si>
    <t>Ⅳ</t>
  </si>
  <si>
    <t>搬迁避让</t>
  </si>
  <si>
    <t>一碗水滑坡</t>
  </si>
  <si>
    <t>H097</t>
  </si>
  <si>
    <t>四川省雅安市汉源县乌斯河镇苏占村</t>
  </si>
  <si>
    <t>观音水滑坡</t>
  </si>
  <si>
    <t>四川省汉源县河南乡沿井村4社</t>
  </si>
  <si>
    <t>碎石土</t>
  </si>
  <si>
    <t>观音水滑坡群</t>
  </si>
  <si>
    <t>H109</t>
  </si>
  <si>
    <t>雷家嘴滑坡</t>
  </si>
  <si>
    <t>四川省汉源县乌斯河乡沙觉村5、7社</t>
  </si>
  <si>
    <t>潜水</t>
  </si>
  <si>
    <t>粉质粘土,灰岩</t>
  </si>
  <si>
    <t>四川省汉源县乌斯河乡苏古村8社</t>
  </si>
  <si>
    <t>王家山滑坡</t>
  </si>
  <si>
    <t>四川省汉源县小堡乡解支村8社</t>
  </si>
  <si>
    <t>专业监测</t>
  </si>
  <si>
    <t>新龙村4，5组滑坡</t>
  </si>
  <si>
    <t>四川省汉源县晒经乡新龙村4、5社</t>
  </si>
  <si>
    <t>单斜构造</t>
  </si>
  <si>
    <t>H119</t>
  </si>
  <si>
    <t>四川省雅安市汉源县小堡乡解放村</t>
  </si>
  <si>
    <t>王家坪滑坡</t>
  </si>
  <si>
    <t>H115</t>
  </si>
  <si>
    <t>四川省雅安市汉源县晒经乡晒经村</t>
  </si>
  <si>
    <t>石窑头滑坡2</t>
  </si>
  <si>
    <t>四川省汉源县料林乡料林村4、9、10社</t>
  </si>
  <si>
    <t>上层滞水</t>
  </si>
  <si>
    <t>糠糠头滑坡</t>
  </si>
  <si>
    <t>H113</t>
  </si>
  <si>
    <t>四川省雅安市汉源县晒经乡新石村</t>
  </si>
  <si>
    <t>石窑头滑坡</t>
  </si>
  <si>
    <t>H122</t>
  </si>
  <si>
    <t>四川省雅安市汉源县料林乡料林村</t>
  </si>
  <si>
    <t>瞿家田滑坡</t>
  </si>
  <si>
    <t>四川省汉源县晒经乡新龙村3社</t>
  </si>
  <si>
    <t>孔隙水$上层滞水</t>
  </si>
  <si>
    <t>罗家湾——麦坪逆断层</t>
  </si>
  <si>
    <t>瞿家田滑坡群(昔格达地层)4个</t>
  </si>
  <si>
    <t>H116</t>
  </si>
  <si>
    <t>四川省雅安市汉源县晒经乡新龙村</t>
  </si>
  <si>
    <t>白周房滑坡</t>
  </si>
  <si>
    <t>H071</t>
  </si>
  <si>
    <t>四川省雅安市汉源县顺河乡板羊村</t>
  </si>
  <si>
    <t>石窖头滑坡1</t>
  </si>
  <si>
    <t>四川省汉源县桂贤乡中心村4社</t>
  </si>
  <si>
    <t>小梁山滑坡</t>
  </si>
  <si>
    <t>H114</t>
  </si>
  <si>
    <t>白碉房滑坡</t>
  </si>
  <si>
    <t>四川省汉源县顺河乡板羊村9社</t>
  </si>
  <si>
    <t>田杯子滑坡</t>
  </si>
  <si>
    <t>四川省汉源县小堡乡铁口村7、8社</t>
  </si>
  <si>
    <t>碎块石土</t>
  </si>
  <si>
    <t>黄家堡滑坡</t>
  </si>
  <si>
    <t>四川省汉源县乌斯河乡大堡村4社</t>
  </si>
  <si>
    <t>朱家园子滑坡</t>
  </si>
  <si>
    <t>灰岩</t>
  </si>
  <si>
    <t>水井沟滑坡</t>
  </si>
  <si>
    <t>H118</t>
  </si>
  <si>
    <t>四川省雅安市汉源县小堡乡铁口村</t>
  </si>
  <si>
    <t>四川省汉源县晒经乡新龙村1社</t>
  </si>
  <si>
    <t>专业监测$搬迁避让</t>
  </si>
  <si>
    <t>万里4组滑坡</t>
  </si>
  <si>
    <t>四川省汉源县乌斯河乡万里村4社</t>
  </si>
  <si>
    <t>碎石土,灰岩</t>
  </si>
  <si>
    <t>宋家地滑坡</t>
  </si>
  <si>
    <t>四川省汉源县桂贤乡大维村1社</t>
  </si>
  <si>
    <t>安装简易监测设施</t>
  </si>
  <si>
    <t>鲁布沟崩塌</t>
  </si>
  <si>
    <t>四川省汉源县鸟似河乡大堡村4社</t>
  </si>
  <si>
    <t>大坪子滑坡</t>
  </si>
  <si>
    <t>H123</t>
  </si>
  <si>
    <t>大渡头滑坡</t>
  </si>
  <si>
    <t>H121</t>
  </si>
  <si>
    <t>四川省雅安市汉源县料林乡新塘村</t>
  </si>
  <si>
    <t>大湾头滑坡</t>
  </si>
  <si>
    <t>四川省汉源县料林乡新塘村3社</t>
  </si>
  <si>
    <t>306省道滑坡</t>
  </si>
  <si>
    <t>四川省汉源县万工乡万工村9社</t>
  </si>
  <si>
    <t>何家树林滑坡</t>
  </si>
  <si>
    <t>四川省汉源县乌斯河乡大堡村2、3社</t>
  </si>
  <si>
    <t>H100</t>
  </si>
  <si>
    <t>四川省雅安市汉源县乌斯河镇沙党村</t>
  </si>
  <si>
    <t>彭家湾滑坡</t>
  </si>
  <si>
    <t>四川省汉源县乌斯河乡大堡村3社</t>
  </si>
  <si>
    <t>碎石土,粉质粘土</t>
  </si>
  <si>
    <t>H175</t>
  </si>
  <si>
    <t>四川省雅安市汉源县桂贤乡大维村</t>
  </si>
  <si>
    <t>坟岗滑坡</t>
  </si>
  <si>
    <t>四川省汉源县料林乡料林村2社</t>
  </si>
  <si>
    <t>白土山滑坡</t>
  </si>
  <si>
    <t>四川省汉源县小堡乡铁口村1组</t>
  </si>
  <si>
    <t>伍家坪滑坡</t>
  </si>
  <si>
    <t>四川省汉源县桂贤乡松树村4社</t>
  </si>
  <si>
    <t>万里村村南4组滑坡</t>
  </si>
  <si>
    <t>四川省汉源县顺河乡万里村4社</t>
  </si>
  <si>
    <t>H117</t>
  </si>
  <si>
    <t>任家坪滑坡</t>
  </si>
  <si>
    <t>H176</t>
  </si>
  <si>
    <t>四川省雅安市汉源县桂贤乡松林村</t>
  </si>
  <si>
    <t>H096</t>
  </si>
  <si>
    <t>四川省雅安市汉源县乌斯河镇大堡村</t>
  </si>
  <si>
    <t>万里四组中下环滑坡</t>
  </si>
  <si>
    <t>H098</t>
  </si>
  <si>
    <t>四川省雅安市汉源县乌斯河镇万里村</t>
  </si>
  <si>
    <t>安家岗滑坡</t>
  </si>
  <si>
    <t>四川省汉源县料林乡料林村1、2社</t>
  </si>
  <si>
    <t>H124</t>
  </si>
  <si>
    <t>矮子庙滑坡</t>
  </si>
  <si>
    <t>H060</t>
  </si>
  <si>
    <t>四川省雅安市汉源县晒经乡李子坪村</t>
  </si>
  <si>
    <t>清水塘滑坡</t>
  </si>
  <si>
    <t>四川省汉源县大树乡新村3组</t>
  </si>
  <si>
    <t>浔新包崩塌</t>
  </si>
  <si>
    <t>四川省汉源县料林乡大林村6社</t>
  </si>
  <si>
    <t>王帽山断裂带附近</t>
  </si>
  <si>
    <t>四川省汉源县晒经乡李子村5社</t>
  </si>
  <si>
    <t>湾头滑坡</t>
  </si>
  <si>
    <t>H193</t>
  </si>
  <si>
    <t>四川省雅安市汉源县晒经乡李子村</t>
  </si>
  <si>
    <t>含粉质粘土碎石土</t>
  </si>
  <si>
    <t>脚石坪滑坡</t>
  </si>
  <si>
    <t>四川省汉源县顺河乡万里村2社</t>
  </si>
  <si>
    <t>学堂湾滑坡</t>
  </si>
  <si>
    <t>四川省汉源县晒经乡李子村1社</t>
  </si>
  <si>
    <t>付家岩危岩带</t>
  </si>
  <si>
    <t>B011</t>
  </si>
  <si>
    <t>四川省雅安市汉源县乌斯河乡万里村</t>
  </si>
  <si>
    <t>任家大地滑坡</t>
  </si>
  <si>
    <t>四川省汉源县料林乡料林村1社</t>
  </si>
  <si>
    <t>任家大地头滑坡</t>
  </si>
  <si>
    <t>H125</t>
  </si>
  <si>
    <t>马落顶滑坡</t>
  </si>
  <si>
    <t>H131</t>
  </si>
  <si>
    <t>四川省雅安市汉源县料林乡马落村</t>
  </si>
  <si>
    <t>清水塘泥滑坡</t>
  </si>
  <si>
    <t>H126</t>
  </si>
  <si>
    <t>四川省雅安市汉源县大树乡新村</t>
  </si>
  <si>
    <t>大河沟泥石流</t>
  </si>
  <si>
    <t>N019</t>
  </si>
  <si>
    <t>大跨山滑坡</t>
  </si>
  <si>
    <t>H177</t>
  </si>
  <si>
    <t>王家包滑坡</t>
  </si>
  <si>
    <t>H043</t>
  </si>
  <si>
    <t>岳家岗下跨山滑坡</t>
  </si>
  <si>
    <t>四川省汉源县桂贤乡松树村37社</t>
  </si>
  <si>
    <t>粉质粘土,砂岩</t>
  </si>
  <si>
    <t>四川省汉源县大树乡新村1社</t>
  </si>
  <si>
    <t>九路田滑坡</t>
  </si>
  <si>
    <t>四川省汉源县桂贤乡松树村2社</t>
  </si>
  <si>
    <t>粉质粘土砂岩</t>
  </si>
  <si>
    <t>H099</t>
  </si>
  <si>
    <t>李家坪滑坡</t>
  </si>
  <si>
    <t>四川省汉源县料林乡马落村3社</t>
  </si>
  <si>
    <t>H132</t>
  </si>
  <si>
    <t>李家岗滑坡</t>
  </si>
  <si>
    <t>H045</t>
  </si>
  <si>
    <t>四川省雅安市汉源县桂贤乡中心村</t>
  </si>
  <si>
    <t>四川省汉源县桂贤乡中兴村2社</t>
  </si>
  <si>
    <t>大坪口滑坡</t>
  </si>
  <si>
    <t>四川省汉源县桂贤乡松林村1社</t>
  </si>
  <si>
    <t>山羊坪滑坡</t>
  </si>
  <si>
    <t>太坪口滑坡</t>
  </si>
  <si>
    <t>H044</t>
  </si>
  <si>
    <t>苹果园滑坡</t>
  </si>
  <si>
    <t>H190</t>
  </si>
  <si>
    <t>四川省雅安市汉源县桂贤乡桂荣村</t>
  </si>
  <si>
    <t>苹果林滑坡2</t>
  </si>
  <si>
    <t>四川省汉源县桂贤乡桂荣村2社</t>
  </si>
  <si>
    <t>桃木溪滑坡</t>
  </si>
  <si>
    <t>四川省汉源县乌斯河乡觉托村3社</t>
  </si>
  <si>
    <t>寨子沟泥石流</t>
  </si>
  <si>
    <t>桂贤红岩子滑坡</t>
  </si>
  <si>
    <t>四川省雅安市汉源县桂贤乡</t>
  </si>
  <si>
    <t>大穷函危岩</t>
  </si>
  <si>
    <t>四川省汉源县大树乡新沟村1社</t>
  </si>
  <si>
    <t>堰坎上滑坡1</t>
  </si>
  <si>
    <t>堰坎脚滑坡</t>
  </si>
  <si>
    <t>H133</t>
  </si>
  <si>
    <t>牛莫路滑坡</t>
  </si>
  <si>
    <t>H093</t>
  </si>
  <si>
    <t>四川省雅安市汉源县皇木镇三合村</t>
  </si>
  <si>
    <t>学堂滑坡</t>
  </si>
  <si>
    <t>H191</t>
  </si>
  <si>
    <t>独木溪滑坡</t>
  </si>
  <si>
    <t>H095</t>
  </si>
  <si>
    <t>四川省雅安市汉源县乌斯河镇贾托村</t>
  </si>
  <si>
    <t>燕子窝滑坡</t>
  </si>
  <si>
    <t>H130</t>
  </si>
  <si>
    <t>藤子坡滑坡</t>
  </si>
  <si>
    <t>四川省汉源县桂贤乡银政村3社</t>
  </si>
  <si>
    <t>燕子湾滑坡</t>
  </si>
  <si>
    <t>四川省汉源县料林乡马落村1社</t>
  </si>
  <si>
    <t>赵洪庙沟泥石流</t>
  </si>
  <si>
    <t>N006</t>
  </si>
  <si>
    <t>腾土坡滑坡</t>
  </si>
  <si>
    <t>H047</t>
  </si>
  <si>
    <t>四川省雅安市汉源县桂贤乡银政村</t>
  </si>
  <si>
    <t>大弯头滑坡</t>
  </si>
  <si>
    <t>H092</t>
  </si>
  <si>
    <t>四川省雅安市汉源县皇木镇岩口村</t>
  </si>
  <si>
    <t>水井坎滑坡</t>
  </si>
  <si>
    <t>四川省汉源县黄木乡三合村1社</t>
  </si>
  <si>
    <t>铺子沟滑坡</t>
  </si>
  <si>
    <t>四川省汉源县皇木乡石沟村4社</t>
  </si>
  <si>
    <t>海子塘滑坡</t>
  </si>
  <si>
    <t>四川省汉源县桂贤乡银政村4社</t>
  </si>
  <si>
    <t>山羊平滑坡</t>
  </si>
  <si>
    <t>四川省汉源县桂树乡银政村2社</t>
  </si>
  <si>
    <t>泥质砂岩</t>
  </si>
  <si>
    <t>H046</t>
  </si>
  <si>
    <t>胡家沟泥石流</t>
  </si>
  <si>
    <t>N004</t>
  </si>
  <si>
    <t>四川省雅安市汉源县万工乡石场村</t>
  </si>
  <si>
    <t>范大沟泥石流</t>
  </si>
  <si>
    <t>N003</t>
  </si>
  <si>
    <t>管山村1组滑坡</t>
  </si>
  <si>
    <t>四川省汉源县梨园乡栗园村2社</t>
  </si>
  <si>
    <t>粉质粘土,砂泥岩</t>
  </si>
  <si>
    <t>306省道临万工集镇拐弯处滑坡</t>
  </si>
  <si>
    <t>四川省汉源县万工乡万场村9社</t>
  </si>
  <si>
    <t>烧房地滑坡</t>
  </si>
  <si>
    <t>H063</t>
  </si>
  <si>
    <t>四川省雅安市汉源县万工乡管山村</t>
  </si>
  <si>
    <t>万场9社不稳定斜坡</t>
  </si>
  <si>
    <t>HX203</t>
  </si>
  <si>
    <t>四川省雅安市汉源县万工乡万场村</t>
  </si>
  <si>
    <t>李家坡滑坡</t>
  </si>
  <si>
    <t>四川省汉源县万工乡管山村2社</t>
  </si>
  <si>
    <t>単斜构造</t>
  </si>
  <si>
    <t>大磨坊滑坡（猴儿岩）</t>
  </si>
  <si>
    <t>H062</t>
  </si>
  <si>
    <t>大槽头滑坡</t>
  </si>
  <si>
    <t>H068</t>
  </si>
  <si>
    <t>四川省雅安市汉源县万工乡双合村</t>
  </si>
  <si>
    <t>大沟口滑坡</t>
  </si>
  <si>
    <t>H064</t>
  </si>
  <si>
    <t>桥桥沟滑坡</t>
  </si>
  <si>
    <t>H069</t>
  </si>
  <si>
    <t>大沟头滑坡2</t>
  </si>
  <si>
    <t>四川省汉源县万工乡管山村5社</t>
  </si>
  <si>
    <t>丁丁岗滑坡</t>
  </si>
  <si>
    <t>四川省汉源县青富乡青富村8社</t>
  </si>
  <si>
    <t>粉砂碎屑岩</t>
  </si>
  <si>
    <t>定期目视检查$地面位移监测</t>
  </si>
  <si>
    <t>管山村3社滑坡</t>
  </si>
  <si>
    <t>四川省汉源县万工乡管山村3社</t>
  </si>
  <si>
    <t>柑子坪滑坡2</t>
  </si>
  <si>
    <t>四川省汉源县万工乡管山村4社</t>
  </si>
  <si>
    <t>砂,泥岩</t>
  </si>
  <si>
    <t>石家沟泥石流</t>
  </si>
  <si>
    <t>四川省汉源县皇木乡石沟村1社</t>
  </si>
  <si>
    <t>柑子坪滑坡</t>
  </si>
  <si>
    <t>H065</t>
  </si>
  <si>
    <t>干河沟滑坡</t>
  </si>
  <si>
    <t>H104</t>
  </si>
  <si>
    <t>四川省雅安市汉源县青富乡青富村</t>
  </si>
  <si>
    <t>管山一组滑坡</t>
  </si>
  <si>
    <t>H061</t>
  </si>
  <si>
    <t>松林坡滑坡</t>
  </si>
  <si>
    <t>H163</t>
  </si>
  <si>
    <t>四川省雅安市汉源县白岩乡双海村</t>
  </si>
  <si>
    <t>金岩4、12社滑坡</t>
  </si>
  <si>
    <t>H067</t>
  </si>
  <si>
    <t>四川省雅安市汉源县万工乡金岩村</t>
  </si>
  <si>
    <t>施家沟泥石流</t>
  </si>
  <si>
    <t>N011</t>
  </si>
  <si>
    <t>四川省雅安市汉源县皇木镇石沟村</t>
  </si>
  <si>
    <t>马家沟滑坡</t>
  </si>
  <si>
    <t>H164</t>
  </si>
  <si>
    <t>肖家岗滑坡</t>
  </si>
  <si>
    <t>四川省汉源县工万乡金岩村4、10、12社</t>
  </si>
  <si>
    <t>李家沟头滑坡</t>
  </si>
  <si>
    <t>H066</t>
  </si>
  <si>
    <t>炒米岗滑坡</t>
  </si>
  <si>
    <t>四川省汉源县白岩乡中海村7社</t>
  </si>
  <si>
    <t>単斜</t>
  </si>
  <si>
    <t>大田头滑坡</t>
  </si>
  <si>
    <t>H161</t>
  </si>
  <si>
    <t>四川省雅安市汉源县白岩乡两河村</t>
  </si>
  <si>
    <t>十三湾滑坡</t>
  </si>
  <si>
    <t>皂角树滑坡</t>
  </si>
  <si>
    <t>四川省汉源县白岩乡西河村2、3、4社</t>
  </si>
  <si>
    <t>鸣鹿8村滑坡</t>
  </si>
  <si>
    <t>四川省汉源县富林乡鸣鹿村8社</t>
  </si>
  <si>
    <t>粉砂岩</t>
  </si>
  <si>
    <t>安装简易监测设施$地面位移监测$深部位移监测</t>
  </si>
  <si>
    <t>大环地滑坡</t>
  </si>
  <si>
    <t>H162</t>
  </si>
  <si>
    <t>火烧坡滑坡2</t>
  </si>
  <si>
    <t>四川省汉源县白岩乡河西村1社</t>
  </si>
  <si>
    <t>泥岩,砂岩</t>
  </si>
  <si>
    <t>白家岩崩塌</t>
  </si>
  <si>
    <t>B007</t>
  </si>
  <si>
    <t>四川省雅安市汉源县马烈乡深溪村</t>
  </si>
  <si>
    <t>白家崖滑坡</t>
  </si>
  <si>
    <t>四川省汉源县马烈乡深澳村1社</t>
  </si>
  <si>
    <t>老屋基滑坡</t>
  </si>
  <si>
    <t>四川省汉源县白岩乡中海村2社</t>
  </si>
  <si>
    <t>高山庙滑坡1</t>
  </si>
  <si>
    <t>四川省汉源县白岩乡中海村3社</t>
  </si>
  <si>
    <t>周家堡滑坡</t>
  </si>
  <si>
    <t>四川省汉源县安乐乡鹤梧村3社</t>
  </si>
  <si>
    <t>H057</t>
  </si>
  <si>
    <t>四川省雅安市汉源县安乐乡洪福村</t>
  </si>
  <si>
    <t>大池坝林滑坡</t>
  </si>
  <si>
    <t>H165</t>
  </si>
  <si>
    <t>四川省雅安市汉源县白岩乡伏龙村</t>
  </si>
  <si>
    <t>东沟泥石流</t>
  </si>
  <si>
    <t>N014</t>
  </si>
  <si>
    <t>四川省雅安市汉源县富林镇鸣鹿村</t>
  </si>
  <si>
    <t>四川省汉源县白岩乡桃湾村</t>
  </si>
  <si>
    <t>专业监测$工程治理</t>
  </si>
  <si>
    <t>白林头不稳定斜坡</t>
  </si>
  <si>
    <t>HX202</t>
  </si>
  <si>
    <t>四川省雅安市汉源县安乐乡鹤梧村</t>
  </si>
  <si>
    <t>乔家湾滑坡</t>
  </si>
  <si>
    <t>四川省汉源县白岩乡伏龙村3社</t>
  </si>
  <si>
    <t>Ⅵ</t>
  </si>
  <si>
    <t>柑子坪滑坡1</t>
  </si>
  <si>
    <t>四川省汉源县安乐乡洪福村5社</t>
  </si>
  <si>
    <t>李家湾滑坡</t>
  </si>
  <si>
    <t>群测群防$专业监测</t>
  </si>
  <si>
    <t>大沟头崩塌</t>
  </si>
  <si>
    <t>四川省汉源县安乐乡水沟村1社</t>
  </si>
  <si>
    <t>平斜构造</t>
  </si>
  <si>
    <t>麦地滑坡</t>
  </si>
  <si>
    <t>H050</t>
  </si>
  <si>
    <t>四川省雅安市汉源县富林镇麦地村</t>
  </si>
  <si>
    <t>姜家沟泥石流</t>
  </si>
  <si>
    <t>N016</t>
  </si>
  <si>
    <t>四川省雅安市汉源县青富乡富贤村</t>
  </si>
  <si>
    <t>鸣鹿6组滑坡</t>
  </si>
  <si>
    <t>H049</t>
  </si>
  <si>
    <t>洪顺3组滑坡</t>
  </si>
  <si>
    <t>四川省汉源县安乐乡洪顺村3社</t>
  </si>
  <si>
    <t>红顺3组滑坡</t>
  </si>
  <si>
    <t>H059</t>
  </si>
  <si>
    <t>四川省雅安市汉源县安乐乡红顺村</t>
  </si>
  <si>
    <t>桃子山滑坡</t>
  </si>
  <si>
    <t>四川省汉源县白岩乡桃湾村1社</t>
  </si>
  <si>
    <t>背后山滑坡</t>
  </si>
  <si>
    <t>四川省汉源县富林乡鸣鹿村7社</t>
  </si>
  <si>
    <t>石湾沟断裂西南</t>
  </si>
  <si>
    <t>群测群防$搬迁避让$工程治理</t>
  </si>
  <si>
    <t>H129</t>
  </si>
  <si>
    <t>香叶书滑坡</t>
  </si>
  <si>
    <t>H166</t>
  </si>
  <si>
    <t>治安村1组滑坡</t>
  </si>
  <si>
    <t>四川省汉源县安乐乡治安村1社</t>
  </si>
  <si>
    <t>细粉砂</t>
  </si>
  <si>
    <t>钱家山滑坡</t>
  </si>
  <si>
    <t>四川省汉源县富林乡广淮村4社</t>
  </si>
  <si>
    <t>淮河断裂西段</t>
  </si>
  <si>
    <t>康家湾滑坡</t>
  </si>
  <si>
    <t>四川省汉源县市荣乡富塘村3社</t>
  </si>
  <si>
    <t>碎块石</t>
  </si>
  <si>
    <t>坛子沟滑坡</t>
  </si>
  <si>
    <t>H048</t>
  </si>
  <si>
    <t>四川省雅安市汉源县富林镇广源村</t>
  </si>
  <si>
    <t>干沟泥石流</t>
  </si>
  <si>
    <t>四川省汉源县马列项马列村7社</t>
  </si>
  <si>
    <t>马鞍山滑坡</t>
  </si>
  <si>
    <t>H051</t>
  </si>
  <si>
    <t>白岩岗滑坡</t>
  </si>
  <si>
    <t>四川省汉源县安乐乡红顺村2社</t>
  </si>
  <si>
    <t>大坝上滑坡</t>
  </si>
  <si>
    <t>H056</t>
  </si>
  <si>
    <t>四川省雅安市汉源县安乐乡治安村</t>
  </si>
  <si>
    <t>草荒坟滑坡</t>
  </si>
  <si>
    <t>H186</t>
  </si>
  <si>
    <t>四川省雅安市汉源县市荣乡富塘村</t>
  </si>
  <si>
    <t>草荒地滑坡</t>
  </si>
  <si>
    <t>四川省汉源县市容乡富塘村1社</t>
  </si>
  <si>
    <t>粉质粘土,碎石土</t>
  </si>
  <si>
    <t>8号路东滑坡</t>
  </si>
  <si>
    <t>金坪断裂东端</t>
  </si>
  <si>
    <t>H188</t>
  </si>
  <si>
    <t>蚂蟥岗滑坡</t>
  </si>
  <si>
    <t>四川省汉源县白岩乡桃湾村2社</t>
  </si>
  <si>
    <t>陈家院子滑坡</t>
  </si>
  <si>
    <t>四川省汉源县市荣乡富塘村1社</t>
  </si>
  <si>
    <t>H187</t>
  </si>
  <si>
    <t>石桅杆滑坡</t>
  </si>
  <si>
    <t>H160</t>
  </si>
  <si>
    <t>四川省雅安市汉源县白岩乡向明村</t>
  </si>
  <si>
    <t>安家岩沟泥石流</t>
  </si>
  <si>
    <t>四川省汉源县皇木乡光荣村4社</t>
  </si>
  <si>
    <t>垮山头滑坡</t>
  </si>
  <si>
    <t>H022</t>
  </si>
  <si>
    <t>N010</t>
  </si>
  <si>
    <t>四川省雅安市汉源县马烈乡马烈村</t>
  </si>
  <si>
    <t>曹家坟滑坡</t>
  </si>
  <si>
    <t>H039</t>
  </si>
  <si>
    <t>四川省雅安市汉源县富泉乡建全村</t>
  </si>
  <si>
    <t>烂包头滑坡</t>
  </si>
  <si>
    <t>四川省汉源县安乐乡红岩村3社</t>
  </si>
  <si>
    <t>定期目视检查$深部位移监测</t>
  </si>
  <si>
    <t>四川省汉源县富泉乡建全村4社</t>
  </si>
  <si>
    <t>石渣够断山西南部</t>
  </si>
  <si>
    <t>斜坡</t>
  </si>
  <si>
    <t>坟平头</t>
  </si>
  <si>
    <t>四川省汉源县富泉乡兰加村5社</t>
  </si>
  <si>
    <t>金坪断裂末端</t>
  </si>
  <si>
    <t>工程治理</t>
  </si>
  <si>
    <t>烂坝头滑坡</t>
  </si>
  <si>
    <t>H058</t>
  </si>
  <si>
    <t>四川省雅安市汉源县安乐乡红岩乡</t>
  </si>
  <si>
    <t>挖断山滑坡</t>
  </si>
  <si>
    <t>四川省汉源县富泉乡建全村1社</t>
  </si>
  <si>
    <t>石渣沟断裂西北部</t>
  </si>
  <si>
    <t>大裂口泥石流</t>
  </si>
  <si>
    <t>八子地滑坡</t>
  </si>
  <si>
    <t>四川省汉源县白岩乡向明村1社</t>
  </si>
  <si>
    <t>陈家沟滑坡</t>
  </si>
  <si>
    <t>H185</t>
  </si>
  <si>
    <t>大雪头滑坡</t>
  </si>
  <si>
    <t>H189</t>
  </si>
  <si>
    <t>四川省汉源县市荣乡富塘村4社</t>
  </si>
  <si>
    <t>H040</t>
  </si>
  <si>
    <t>挖断山崩塌</t>
  </si>
  <si>
    <t>B002</t>
  </si>
  <si>
    <t>朱家坪滑坡</t>
  </si>
  <si>
    <t>四川省汉源县白岩乡桃湾村4、6社</t>
  </si>
  <si>
    <t>大拐上滑坡</t>
  </si>
  <si>
    <t>H167</t>
  </si>
  <si>
    <t>四川省雅安市汉源县白岩乡桃湾村</t>
  </si>
  <si>
    <t>鸡老壳岩滑坡</t>
  </si>
  <si>
    <t>四川省汉源县富泉乡胡叶村1社</t>
  </si>
  <si>
    <t>块碎石</t>
  </si>
  <si>
    <t>剪刀崖崩塌</t>
  </si>
  <si>
    <t>四川省汉源县马烈乡新华村3社</t>
  </si>
  <si>
    <t>孔隙水$岩溶水</t>
  </si>
  <si>
    <t>顺河断裂东北翼</t>
  </si>
  <si>
    <t>龙潭沟滑坡</t>
  </si>
  <si>
    <t>H184</t>
  </si>
  <si>
    <t>四川省雅安市汉源县市荣乡红砂村</t>
  </si>
  <si>
    <t>飞鹅岗滑坡</t>
  </si>
  <si>
    <t>H042</t>
  </si>
  <si>
    <t>四川省雅安市汉源县富泉乡胡叶村</t>
  </si>
  <si>
    <t>张家岗滑坡</t>
  </si>
  <si>
    <t>H102</t>
  </si>
  <si>
    <t>四川省雅安市汉源县万里乡平安村</t>
  </si>
  <si>
    <t>剪刀崖滑坡</t>
  </si>
  <si>
    <t>H091</t>
  </si>
  <si>
    <t>四川省雅安市汉源县马烈乡新华村</t>
  </si>
  <si>
    <t>天鹅岗滑坡1</t>
  </si>
  <si>
    <t>天鹅岗滑坡2</t>
  </si>
  <si>
    <t>四川省汉源县万里乡平安村4社</t>
  </si>
  <si>
    <t>四川省汉源县市荣乡红砂村1、3、8、9社</t>
  </si>
  <si>
    <t>金坪断裂东南部</t>
  </si>
  <si>
    <t>兰加村5组不稳定斜坡</t>
  </si>
  <si>
    <t>HX201</t>
  </si>
  <si>
    <t>四川省雅安市汉源县富泉乡兰加村</t>
  </si>
  <si>
    <t>红砂槽滑坡</t>
  </si>
  <si>
    <t>四川省汉源县市荣乡红砂村5社</t>
  </si>
  <si>
    <t>飞水崖滑坡</t>
  </si>
  <si>
    <t>四川省汉源县富泉乡胡叶村2社</t>
  </si>
  <si>
    <t>孔隙水$裂隙水</t>
  </si>
  <si>
    <t>粉质粘土夹碎石</t>
  </si>
  <si>
    <t>H041</t>
  </si>
  <si>
    <t>榨地头滑坡</t>
  </si>
  <si>
    <t>四川省汉源县万里乡坪安村4社</t>
  </si>
  <si>
    <t>石渣沟断裂</t>
  </si>
  <si>
    <t>H101</t>
  </si>
  <si>
    <t>向明村五组滑坡</t>
  </si>
  <si>
    <t>H159</t>
  </si>
  <si>
    <t>树林头滑坡</t>
  </si>
  <si>
    <t>H158</t>
  </si>
  <si>
    <t>苹果林滑坡1</t>
  </si>
  <si>
    <t>四川省汉源县白岩乡向明村5社</t>
  </si>
  <si>
    <t>四川省汉源县白岩乡向明村6社</t>
  </si>
  <si>
    <t>水沟村崩塌</t>
  </si>
  <si>
    <t>B003</t>
  </si>
  <si>
    <t>四川省雅安市汉源县安乐乡水沟村</t>
  </si>
  <si>
    <t>松林岗滑坡</t>
  </si>
  <si>
    <t>四川省汉源县市荣乡红砂村4社</t>
  </si>
  <si>
    <t>胡家院子滑坡</t>
  </si>
  <si>
    <t>四川省汉源县市荣乡红砂村7社</t>
  </si>
  <si>
    <t>H182</t>
  </si>
  <si>
    <t>H181</t>
  </si>
  <si>
    <t>黑石包头滑坡</t>
  </si>
  <si>
    <t>H180</t>
  </si>
  <si>
    <t>四川省雅安市汉源县市荣乡太坪村</t>
  </si>
  <si>
    <t>小平头滑坡</t>
  </si>
  <si>
    <t>四川省汉源县是荣乡太平村6社</t>
  </si>
  <si>
    <t>粉质粘土夹块碎石</t>
  </si>
  <si>
    <t>小坪头滑坡</t>
  </si>
  <si>
    <t>H178</t>
  </si>
  <si>
    <t>H183</t>
  </si>
  <si>
    <t>石岗坪滑坡</t>
  </si>
  <si>
    <t>H179</t>
  </si>
  <si>
    <t>岩门口崩塌</t>
  </si>
  <si>
    <t>四川省汉源县白岩乡虫林村6社</t>
  </si>
  <si>
    <t>石渣沟断裂西南</t>
  </si>
  <si>
    <t>四川省汉源县市荣乡太平村2、3社</t>
  </si>
  <si>
    <t>石洞槽危岩崩塌</t>
  </si>
  <si>
    <t>四川省汉源县马烈乡新合村3社</t>
  </si>
  <si>
    <t>崖门口崩塌</t>
  </si>
  <si>
    <t>B017</t>
  </si>
  <si>
    <t>四川省雅安市汉源县白岩乡虫林村</t>
  </si>
  <si>
    <t>乔家坡滑坡</t>
  </si>
  <si>
    <t>四川省汉源县万里乡坪安村2社</t>
  </si>
  <si>
    <t>九襄断裂东北部</t>
  </si>
  <si>
    <t>乔家坡危岩</t>
  </si>
  <si>
    <t>B015</t>
  </si>
  <si>
    <t>四川省雅安市汉源县万里乡坪安村</t>
  </si>
  <si>
    <t>辜家坡滑坡</t>
  </si>
  <si>
    <t>四川省汉源县富泉乡建全村8社</t>
  </si>
  <si>
    <t>玄武岩</t>
  </si>
  <si>
    <t>红线沟崩塌</t>
  </si>
  <si>
    <t>B014</t>
  </si>
  <si>
    <t>四川省雅安市汉源县万里乡富泉村</t>
  </si>
  <si>
    <t>石洞槽崩塌</t>
  </si>
  <si>
    <t>B008</t>
  </si>
  <si>
    <t>四川省雅安市汉源县马烈乡新合村</t>
  </si>
  <si>
    <t>线线沟滑坡</t>
  </si>
  <si>
    <t>四川省汉源县万里乡富泉村4社</t>
  </si>
  <si>
    <t>水竹子滑坡</t>
  </si>
  <si>
    <t>H038</t>
  </si>
  <si>
    <t>四川省雅安市汉源县富泉乡大农村</t>
  </si>
  <si>
    <t>范家沟泥石流</t>
  </si>
  <si>
    <t>N013</t>
  </si>
  <si>
    <t>水竹子崖</t>
  </si>
  <si>
    <t>四川省汉源县富泉乡大农村5社</t>
  </si>
  <si>
    <t>四川省汉源县富林乡麦地村1、2、3、4、6、7社</t>
  </si>
  <si>
    <t>九襄断裂西北</t>
  </si>
  <si>
    <t>铅场上滑坡</t>
  </si>
  <si>
    <t>四川省汉源县富泉乡香树村3社</t>
  </si>
  <si>
    <t>四川省汉源县万里乡富泉村4、5、6社</t>
  </si>
  <si>
    <t>老水井沟滑坡</t>
  </si>
  <si>
    <t>四川省汉源县河西乡庄子村1社</t>
  </si>
  <si>
    <t>金坪断裂东北部</t>
  </si>
  <si>
    <t>大路上滑坡</t>
  </si>
  <si>
    <t>砂岩,砂质页岩</t>
  </si>
  <si>
    <t>长水塘危岩</t>
  </si>
  <si>
    <t>四川省汉源县河西乡庄子村12社</t>
  </si>
  <si>
    <t>长水塘崩塌</t>
  </si>
  <si>
    <t>B005</t>
  </si>
  <si>
    <t>四川省雅安市汉源县河西乡庄子村</t>
  </si>
  <si>
    <t>榨叶坡滑坡</t>
  </si>
  <si>
    <t>四川省汉源县河西乡庄子村3社</t>
  </si>
  <si>
    <t>庄子三组滑坡</t>
  </si>
  <si>
    <t>H074</t>
  </si>
  <si>
    <t>郭儿坟滑坡</t>
  </si>
  <si>
    <t>H073</t>
  </si>
  <si>
    <t>金花庙滑坡</t>
  </si>
  <si>
    <t>四川省汉源县河西乡香林村9社</t>
  </si>
  <si>
    <t>灰岩,粉质粘土</t>
  </si>
  <si>
    <t>周家公地滑坡</t>
  </si>
  <si>
    <t>H103</t>
  </si>
  <si>
    <t>四川省雅安市汉源县万里乡沙坪村</t>
  </si>
  <si>
    <t>二道坪危岩</t>
  </si>
  <si>
    <t>四川省汉源县河西乡香林村10社</t>
  </si>
  <si>
    <t>家儿岩崩塌</t>
  </si>
  <si>
    <t>B004</t>
  </si>
  <si>
    <t>四川省雅安市汉源县河西乡香林村</t>
  </si>
  <si>
    <t>四川省汉源县万里乡沙坪村6社</t>
  </si>
  <si>
    <t>阳山1组滑坡</t>
  </si>
  <si>
    <t>四川省汉源县河西乡阳山村1社</t>
  </si>
  <si>
    <t>沽庄崩塌</t>
  </si>
  <si>
    <t>四川省汉源县唐家乡联络村4社</t>
  </si>
  <si>
    <t>石渣沟断裂向南</t>
  </si>
  <si>
    <t>木叶村滑坡</t>
  </si>
  <si>
    <t>四川省汉源县唐家乡联合村4社</t>
  </si>
  <si>
    <t>西渣沟断裂西北部</t>
  </si>
  <si>
    <t>木叶林滑坡</t>
  </si>
  <si>
    <t>H169</t>
  </si>
  <si>
    <t>四川省雅安市汉源县唐家乡联合村</t>
  </si>
  <si>
    <t>二道坪滑坡</t>
  </si>
  <si>
    <t>四川省汉源县唐家乡联合村5社</t>
  </si>
  <si>
    <t>石渣沟断裂西南部</t>
  </si>
  <si>
    <t>龙塘村八组滑坡</t>
  </si>
  <si>
    <t>H194</t>
  </si>
  <si>
    <t>四川省雅安市汉源县河西乡龙塘村</t>
  </si>
  <si>
    <t>大沟头滑坡1</t>
  </si>
  <si>
    <t>四川省汉源县河西乡龙塘村8、9社</t>
  </si>
  <si>
    <t>龙塘九组新滑坡</t>
  </si>
  <si>
    <t>H195</t>
  </si>
  <si>
    <t>喇嘛溪沟泥石流</t>
  </si>
  <si>
    <t>N020</t>
  </si>
  <si>
    <t>四川省雅安市汉源县唐家乡合同村</t>
  </si>
  <si>
    <t>龙塘村九组滑坡</t>
  </si>
  <si>
    <t>H192</t>
  </si>
  <si>
    <t>斜坡头滑坡</t>
  </si>
  <si>
    <t>H136</t>
  </si>
  <si>
    <t>四川省雅安市汉源县大岭乡西南村</t>
  </si>
  <si>
    <t>大岩危岩崩塌</t>
  </si>
  <si>
    <t>四川省汉源县万里乡里坪村7社</t>
  </si>
  <si>
    <t>岩溶水</t>
  </si>
  <si>
    <t>大岩头危岩</t>
  </si>
  <si>
    <t>B012</t>
  </si>
  <si>
    <t>四川省雅安市汉源县万里乡里坪村</t>
  </si>
  <si>
    <t>水塘头滑坡1</t>
  </si>
  <si>
    <t>四川省汉源县唐家乡新场村4社</t>
  </si>
  <si>
    <t>土神庙滑坡</t>
  </si>
  <si>
    <t>H172</t>
  </si>
  <si>
    <t>四川省雅安市汉源县唐家乡新场村</t>
  </si>
  <si>
    <t>文武坡滑坡</t>
  </si>
  <si>
    <t>H171</t>
  </si>
  <si>
    <t>四川省汉源县唐家乡合同村3社</t>
  </si>
  <si>
    <t>瓦窑坪滑坡</t>
  </si>
  <si>
    <t>H174</t>
  </si>
  <si>
    <t>毛家坡崩塌</t>
  </si>
  <si>
    <t>四川省汉源县万里乡里坪村5社</t>
  </si>
  <si>
    <t>四川省汉源县唐家乡合同村2、3、4社</t>
  </si>
  <si>
    <t>九襄断层西南部</t>
  </si>
  <si>
    <t>四川省汉源县唐家乡新沟村4社</t>
  </si>
  <si>
    <t>瓦岗坪滑坡</t>
  </si>
  <si>
    <t>四川省汉源县唐家乡铜村3社</t>
  </si>
  <si>
    <t>泥质白云岩,粉质砂岩</t>
  </si>
  <si>
    <t>辣椒坪崩塌</t>
  </si>
  <si>
    <t>四川省汉源县唐家乡联络村6社</t>
  </si>
  <si>
    <t>石渣子端断裂西北部</t>
  </si>
  <si>
    <t>核桃沟滑坡</t>
  </si>
  <si>
    <t>H135</t>
  </si>
  <si>
    <t>四川省雅安市汉源县大岭乡青杠村</t>
  </si>
  <si>
    <t>唐家湾滑坡</t>
  </si>
  <si>
    <t>H173</t>
  </si>
  <si>
    <t>H168</t>
  </si>
  <si>
    <t>高山庙滑坡2</t>
  </si>
  <si>
    <t>四川省汉源县大岭乡西南村1、2、3社</t>
  </si>
  <si>
    <t>垮山头不稳定斜坡</t>
  </si>
  <si>
    <t>四川省汉源县唐家乡新场村3社</t>
  </si>
  <si>
    <t>H170</t>
  </si>
  <si>
    <t>瓦渣坪滑坡</t>
  </si>
  <si>
    <t>H134</t>
  </si>
  <si>
    <t>四川省雅安市汉源县大岭乡海子村</t>
  </si>
  <si>
    <t>李金塘滑坡</t>
  </si>
  <si>
    <t>四川省汉源县后域乡大坪村3社</t>
  </si>
  <si>
    <t>大相岭背斜西南部</t>
  </si>
  <si>
    <t>李合塘滑坡</t>
  </si>
  <si>
    <t>H084</t>
  </si>
  <si>
    <t>四川省雅安市汉源县后域乡大坪村</t>
  </si>
  <si>
    <t>家担湾滑坡</t>
  </si>
  <si>
    <t>四川省汉源县后域乡张湾村1、2社</t>
  </si>
  <si>
    <t>宜东向斜西南部</t>
  </si>
  <si>
    <t>伽担湾滑坡</t>
  </si>
  <si>
    <t>H083</t>
  </si>
  <si>
    <t>四川省雅安市汉源县后域乡张湾村</t>
  </si>
  <si>
    <t>马林盖滑坡</t>
  </si>
  <si>
    <t>四川省汉源县后域乡张湾村3社</t>
  </si>
  <si>
    <t>H082</t>
  </si>
  <si>
    <t>郭家山滑坡</t>
  </si>
  <si>
    <t>H085</t>
  </si>
  <si>
    <t>四川省雅安市汉源县后域乡全心村</t>
  </si>
  <si>
    <t>脚基岭滑坡</t>
  </si>
  <si>
    <t>四川省汉源县后域乡全新村3社</t>
  </si>
  <si>
    <t>蕨及岭滑坡</t>
  </si>
  <si>
    <t>H086</t>
  </si>
  <si>
    <t>四川省汉源县后域乡全新村9社</t>
  </si>
  <si>
    <t>白饭溪滑坡</t>
  </si>
  <si>
    <t>H080</t>
  </si>
  <si>
    <t>四川省雅安市汉源县前域乡康荣村</t>
  </si>
  <si>
    <t>浸林子滑坡</t>
  </si>
  <si>
    <t>四川省汉源县九襄乡河西村6社</t>
  </si>
  <si>
    <t>定期目视检查$安装简易监测设施</t>
  </si>
  <si>
    <t>H088</t>
  </si>
  <si>
    <t>四川省雅安市汉源县九襄乡河西村</t>
  </si>
  <si>
    <t>大土坝崩塌</t>
  </si>
  <si>
    <t>四川省汉源县后域乡白云村2社</t>
  </si>
  <si>
    <t>龙坡水滑坡</t>
  </si>
  <si>
    <t>四川省汉源县九襄乡梨花村4社</t>
  </si>
  <si>
    <t>H087</t>
  </si>
  <si>
    <t>四川省雅安市汉源县九襄乡魏花村</t>
  </si>
  <si>
    <t>点档沟崩塌</t>
  </si>
  <si>
    <t>四川省汉源县九襄乡上埝村2社</t>
  </si>
  <si>
    <t>九襄断裂西南部</t>
  </si>
  <si>
    <t>点槽沟崩塌</t>
  </si>
  <si>
    <t>B006</t>
  </si>
  <si>
    <t>四川省雅安市汉源县九襄镇上想村</t>
  </si>
  <si>
    <t>张岗滑坡</t>
  </si>
  <si>
    <t>H081</t>
  </si>
  <si>
    <t>洋湾头滑坡</t>
  </si>
  <si>
    <t>H033</t>
  </si>
  <si>
    <t>四川省雅安市汉源县两河乡赵院村</t>
  </si>
  <si>
    <t>沈家沟滑坡</t>
  </si>
  <si>
    <t>四川省汉源县宜东乡富乡村10社</t>
  </si>
  <si>
    <t>宜东向斜西北部</t>
  </si>
  <si>
    <t>黄院子滑坡</t>
  </si>
  <si>
    <t>四川省汉源县两河乡赵院村2社</t>
  </si>
  <si>
    <t>火烧坡滑坡1</t>
  </si>
  <si>
    <t>四川省汉源县大田乡新中村6社</t>
  </si>
  <si>
    <t>娃娃沟泥石流</t>
  </si>
  <si>
    <t>四川省汉源县九襄乡百桃村5社</t>
  </si>
  <si>
    <t>N009</t>
  </si>
  <si>
    <t>四川省雅安市汉源县九襄镇白桃村</t>
  </si>
  <si>
    <t>火烧坡滑坡</t>
  </si>
  <si>
    <t>H157</t>
  </si>
  <si>
    <t>四川省雅安市汉源县大田乡新中村</t>
  </si>
  <si>
    <t>H032</t>
  </si>
  <si>
    <t>大席头滑坡</t>
  </si>
  <si>
    <t>四川省汉源县前域乡全合村4社</t>
  </si>
  <si>
    <t>大歇头滑坡</t>
  </si>
  <si>
    <t>H078</t>
  </si>
  <si>
    <t>四川省雅安市汉源县前域乡全合村</t>
  </si>
  <si>
    <t>金银坪滑坡</t>
  </si>
  <si>
    <t>四川省汉源县前域乡金银坪村1、2、3社</t>
  </si>
  <si>
    <t>金银坪安置点滑坡</t>
  </si>
  <si>
    <t>H079</t>
  </si>
  <si>
    <t>四川省雅安市汉源县前域乡金银坪村</t>
  </si>
  <si>
    <t>横路上滑坡</t>
  </si>
  <si>
    <t>四川省汉源县富庄乡联络村13社</t>
  </si>
  <si>
    <t>宜东向斜东北部</t>
  </si>
  <si>
    <t>岩湾头滑坡</t>
  </si>
  <si>
    <t>H199</t>
  </si>
  <si>
    <t>四川省雅安市汉源县富庄镇联络村</t>
  </si>
  <si>
    <t>白树沟泥石流</t>
  </si>
  <si>
    <t>四川省汉源县九襄乡枣林村1社</t>
  </si>
  <si>
    <t>白桃沟泥石流</t>
  </si>
  <si>
    <t>N008</t>
  </si>
  <si>
    <t>四川省雅安市汉源县九襄镇枣林村</t>
  </si>
  <si>
    <t>鹰地沟滑坡</t>
  </si>
  <si>
    <t>H155</t>
  </si>
  <si>
    <t>四川省雅安市汉源县大田乡建设村</t>
  </si>
  <si>
    <t>厚地凹滑坡</t>
  </si>
  <si>
    <t>四川省汉源县大田乡建设村4社</t>
  </si>
  <si>
    <t>九襄断层南部</t>
  </si>
  <si>
    <t>小沟口滑坡</t>
  </si>
  <si>
    <t>H154</t>
  </si>
  <si>
    <t>小沟头滑坡</t>
  </si>
  <si>
    <t>四川省汉源县大田乡建设村7社</t>
  </si>
  <si>
    <t>山墩坡滑坡</t>
  </si>
  <si>
    <t>四川省汉源县双溪乡涂家村5社</t>
  </si>
  <si>
    <t>H077</t>
  </si>
  <si>
    <t>四川省雅安市汉源县双溪乡涂家村</t>
  </si>
  <si>
    <t>红豆地滑坡</t>
  </si>
  <si>
    <t>四川省汉源县富乡富兴村5社</t>
  </si>
  <si>
    <t>宜东向斜东西部</t>
  </si>
  <si>
    <t>一堵墙滑坡</t>
  </si>
  <si>
    <t>H156</t>
  </si>
  <si>
    <t>四川省雅安市汉源县大田乡胜利村</t>
  </si>
  <si>
    <t>两边山滑坡</t>
  </si>
  <si>
    <t>四川省汉源县九襄乡满埝村9社</t>
  </si>
  <si>
    <t>大沟头泥石流</t>
  </si>
  <si>
    <t>雨情$泥位</t>
  </si>
  <si>
    <t>H153</t>
  </si>
  <si>
    <t>新河泥石流</t>
  </si>
  <si>
    <t>四川省汉源县九襄乡涂家村1社</t>
  </si>
  <si>
    <t>特大型</t>
  </si>
  <si>
    <t>拉木冲沟泥石流</t>
  </si>
  <si>
    <t>N002</t>
  </si>
  <si>
    <t>四川省雅安市汉源县富乡乡富湾村</t>
  </si>
  <si>
    <t>四川省汉源县富乡乡富湾村3社</t>
  </si>
  <si>
    <t>新沟泥石流</t>
  </si>
  <si>
    <t>N007</t>
  </si>
  <si>
    <t>四川省雅安市汉源县九襄镇杏林村</t>
  </si>
  <si>
    <t>当门坡滑坡</t>
  </si>
  <si>
    <t>H036</t>
  </si>
  <si>
    <t>四川省雅安市汉源县富乡乡富和村</t>
  </si>
  <si>
    <t>桐子包滑坡</t>
  </si>
  <si>
    <t>四川省汉源县两河乡双江村5社</t>
  </si>
  <si>
    <t>太平沟滑坡</t>
  </si>
  <si>
    <t>H037</t>
  </si>
  <si>
    <t>四川省雅安市汉源县富乡乡富洪村</t>
  </si>
  <si>
    <t>H031</t>
  </si>
  <si>
    <t>四川省雅安市汉源县两河乡双江村</t>
  </si>
  <si>
    <t>四川省汉源县富乡乡富洪村3社</t>
  </si>
  <si>
    <t>松林头滑坡</t>
  </si>
  <si>
    <t>H035</t>
  </si>
  <si>
    <t>四川省雅安市汉源县两河乡五星村</t>
  </si>
  <si>
    <t>四川省汉源县富乡乡富和村6、7、8社</t>
  </si>
  <si>
    <t>地面位移监测$深部位移监测</t>
  </si>
  <si>
    <t>修山沟滑坡</t>
  </si>
  <si>
    <t>四川省汉源县富庄乡联络村12社</t>
  </si>
  <si>
    <t>修水沟滑坡</t>
  </si>
  <si>
    <t>H200</t>
  </si>
  <si>
    <t>黄泥坡滑坡</t>
  </si>
  <si>
    <t>四川省汉源县双溪乡木兰村3、4社</t>
  </si>
  <si>
    <t>浸水沟滑坡</t>
  </si>
  <si>
    <t>四川省汉源县两河乡五星村1社</t>
  </si>
  <si>
    <t>四川省汉源县两河乡五星村3社</t>
  </si>
  <si>
    <t>裂隙水$潜水</t>
  </si>
  <si>
    <t>金坪断裂</t>
  </si>
  <si>
    <t>樱桃树滑坡</t>
  </si>
  <si>
    <t>四川省汉源县富庄乡河东村4社</t>
  </si>
  <si>
    <t>李家山滑坡</t>
  </si>
  <si>
    <t>四川省汉源县双溪乡申沟村5社</t>
  </si>
  <si>
    <t>H029</t>
  </si>
  <si>
    <t>四川省雅安市汉源县富庄镇河东村</t>
  </si>
  <si>
    <t>四川省汉源县大田乡胜利村4社</t>
  </si>
  <si>
    <t>砂泥岩</t>
  </si>
  <si>
    <t>五星村4组滑坡</t>
  </si>
  <si>
    <t>四川省汉源县两河乡五星村4社</t>
  </si>
  <si>
    <t>飘草林滑坡</t>
  </si>
  <si>
    <t>H034</t>
  </si>
  <si>
    <t>四川省雅安市汉源县富乡乡富原村</t>
  </si>
  <si>
    <t>马鞍腰滑坡</t>
  </si>
  <si>
    <t>寨子坡滑坡</t>
  </si>
  <si>
    <t>H137</t>
  </si>
  <si>
    <t>在子坡滑坡</t>
  </si>
  <si>
    <t>四川省汉源县富庄乡河东村3社</t>
  </si>
  <si>
    <t>滴水岩滑坡</t>
  </si>
  <si>
    <t>H196</t>
  </si>
  <si>
    <t>四川省汉源县富乡乡富原村4社</t>
  </si>
  <si>
    <t>金坪断裂北部</t>
  </si>
  <si>
    <t>富厚村5组危岩</t>
  </si>
  <si>
    <t>四川省汉源县富乡乡富原村5社</t>
  </si>
  <si>
    <t>四川省汉源县富庄乡永兴村2、3社</t>
  </si>
  <si>
    <t>桃子坪滑坡</t>
  </si>
  <si>
    <t>四川省汉源县富庄乡富庄村1社</t>
  </si>
  <si>
    <t>H030</t>
  </si>
  <si>
    <t>四川省雅安市汉源县富庄镇富庄村</t>
  </si>
  <si>
    <t>水沟头滑坡</t>
  </si>
  <si>
    <t>四川省汉源县两溪乡松江村5社</t>
  </si>
  <si>
    <t>大湾岩滑坡</t>
  </si>
  <si>
    <t>H197</t>
  </si>
  <si>
    <t>四川省汉源县富庄乡河东村5社</t>
  </si>
  <si>
    <t>涭水岭滑坡</t>
  </si>
  <si>
    <t>四川省汉源县两溪乡陈河村5社</t>
  </si>
  <si>
    <t>矮板凳滑坡</t>
  </si>
  <si>
    <t>四川省汉源县建黎乡双坪村1、2、3社</t>
  </si>
  <si>
    <t>九襄断裂</t>
  </si>
  <si>
    <t>浸水岭滑坡</t>
  </si>
  <si>
    <t>H149</t>
  </si>
  <si>
    <t>四川省雅安市汉源县西溪乡陈河村</t>
  </si>
  <si>
    <t>杜家湾滑坡</t>
  </si>
  <si>
    <t>四川省汉源县两溪乡陈河村6社</t>
  </si>
  <si>
    <t>地面位移监测</t>
  </si>
  <si>
    <t>H152</t>
  </si>
  <si>
    <t>四川省汉源县白岩乡双海村2、3、4社</t>
  </si>
  <si>
    <t>泥质粉砂岩</t>
  </si>
  <si>
    <t>大西头滑坡</t>
  </si>
  <si>
    <t>四川省汉源县富庄乡永兴县11社</t>
  </si>
  <si>
    <t>H198</t>
  </si>
  <si>
    <t>四川省雅安市汉源县富庄镇永兴村</t>
  </si>
  <si>
    <t>水塘头滑坡</t>
  </si>
  <si>
    <t>H028</t>
  </si>
  <si>
    <t>四川省雅安市汉源县大堰乡太红村</t>
  </si>
  <si>
    <t>陈家嘴滑坡</t>
  </si>
  <si>
    <t>H148</t>
  </si>
  <si>
    <t>大坟岗滑坡</t>
  </si>
  <si>
    <t>四川省汉源县两溪乡陈河村1社</t>
  </si>
  <si>
    <t>北善岗滑坡</t>
  </si>
  <si>
    <t>四川省汉源县两溪乡合江村4社</t>
  </si>
  <si>
    <t>水塘头滑坡2</t>
  </si>
  <si>
    <t>四川省汉源县大堰乡太红村6社</t>
  </si>
  <si>
    <t>H146</t>
  </si>
  <si>
    <t>四川省雅安市汉源县西溪乡合江村</t>
  </si>
  <si>
    <t>坎下户滑坡</t>
  </si>
  <si>
    <t>H145</t>
  </si>
  <si>
    <t>红子儿滑坡</t>
  </si>
  <si>
    <t>四川省汉源县两溪乡陈河村3社</t>
  </si>
  <si>
    <t>H075</t>
  </si>
  <si>
    <t>四川省雅安市汉源县双溪乡木兰村</t>
  </si>
  <si>
    <t>H150</t>
  </si>
  <si>
    <t>寨子湾滑坡</t>
  </si>
  <si>
    <t>H027</t>
  </si>
  <si>
    <t>四川省雅安市汉源县大堰乡同义村</t>
  </si>
  <si>
    <t>四川省汉源县大堰乡同义村6社</t>
  </si>
  <si>
    <t>骆象山滑坡</t>
  </si>
  <si>
    <t>四川省汉源县两溪乡陈河村2社</t>
  </si>
  <si>
    <t>寨子山滑坡</t>
  </si>
  <si>
    <t>H026</t>
  </si>
  <si>
    <t>寨子上滑坡</t>
  </si>
  <si>
    <t>四川省汉源县大堰乡同义村1社</t>
  </si>
  <si>
    <t>观音庙滑坡</t>
  </si>
  <si>
    <t>四川省汉源县清溪乡顺利村2社</t>
  </si>
  <si>
    <t>一根桥滑坡</t>
  </si>
  <si>
    <t>四川省汉源县清溪乡顺利村1社</t>
  </si>
  <si>
    <t>安装简易监测设施$地面位移监测</t>
  </si>
  <si>
    <t>H089</t>
  </si>
  <si>
    <t>四川省雅安市汉源县清溪乡顺利村</t>
  </si>
  <si>
    <t>H090</t>
  </si>
  <si>
    <t>四川省雅安市汉源县清溪乡顺河村</t>
  </si>
  <si>
    <t>H076</t>
  </si>
  <si>
    <t>四川省雅安市汉源县双溪乡申沟村</t>
  </si>
  <si>
    <t>盘洞岩滑坡</t>
  </si>
  <si>
    <t>H018</t>
  </si>
  <si>
    <t>四川省雅安市汉源县梨园乡大地村</t>
  </si>
  <si>
    <t>四川省汉源县梨园乡大地村2社</t>
  </si>
  <si>
    <t>骆家山滑坡</t>
  </si>
  <si>
    <t>H147</t>
  </si>
  <si>
    <t>白崖上滑坡</t>
  </si>
  <si>
    <t>单斜地层</t>
  </si>
  <si>
    <t>塘房上滑坡</t>
  </si>
  <si>
    <t>四川省汉源县大堰乡海亭村2社</t>
  </si>
  <si>
    <t>海亭村7组滑坡</t>
  </si>
  <si>
    <t>H024</t>
  </si>
  <si>
    <t>四川省雅安市汉源县大堰乡海亭村</t>
  </si>
  <si>
    <t>二坪上滑坡</t>
  </si>
  <si>
    <t>四川省汉源县梨园乡三江村3社</t>
  </si>
  <si>
    <t>H020</t>
  </si>
  <si>
    <t>四川省雅安市汉源县梨园乡三江村</t>
  </si>
  <si>
    <t>H151</t>
  </si>
  <si>
    <t>四川省雅安市汉源县西溪乡松江村</t>
  </si>
  <si>
    <t>水上沟滑坡</t>
  </si>
  <si>
    <t>四川省汉源县大堰乡海亭村9社</t>
  </si>
  <si>
    <t>红坎上滑坡</t>
  </si>
  <si>
    <t>四川省汉源县两溪乡平河村1社</t>
  </si>
  <si>
    <t>水沟上滑坡</t>
  </si>
  <si>
    <t>H025</t>
  </si>
  <si>
    <t>H144</t>
  </si>
  <si>
    <t>四川省雅安市汉源县西溪乡平河村</t>
  </si>
  <si>
    <t>水莎湾滑坡</t>
  </si>
  <si>
    <t>四川省汉源县梨园乡三江村1社</t>
  </si>
  <si>
    <t>大坪上滑坡</t>
  </si>
  <si>
    <t>H128</t>
  </si>
  <si>
    <t>四川省雅安市汉源县大堰乡新林村</t>
  </si>
  <si>
    <t>草坝头滑坡</t>
  </si>
  <si>
    <t>H143</t>
  </si>
  <si>
    <t>水大湾滑坡</t>
  </si>
  <si>
    <t>H019</t>
  </si>
  <si>
    <t>大坪头滑坡</t>
  </si>
  <si>
    <t>四川省汉源县大堰乡新林村4社</t>
  </si>
  <si>
    <t>白上坪滑坡</t>
  </si>
  <si>
    <t>H127</t>
  </si>
  <si>
    <t>向上坪滑坡</t>
  </si>
  <si>
    <t>苏家坪滑坡</t>
  </si>
  <si>
    <t>四川省汉源县梨园乡大树村6社</t>
  </si>
  <si>
    <t>H021</t>
  </si>
  <si>
    <t>四川省雅安市汉源县梨园乡大树村</t>
  </si>
  <si>
    <t>寺基坪滑坡</t>
  </si>
  <si>
    <t>四川省汉源县两溪乡民安村1社</t>
  </si>
  <si>
    <t>H139</t>
  </si>
  <si>
    <t>四川省雅安市汉源县西溪乡民安村</t>
  </si>
  <si>
    <t>凉风顶滑坡</t>
  </si>
  <si>
    <t>H140</t>
  </si>
  <si>
    <t>白庙坪滑坡</t>
  </si>
  <si>
    <t>H138</t>
  </si>
  <si>
    <t>四川省雅安市汉源县西溪乡新立村</t>
  </si>
  <si>
    <t>白扇坪滑坡</t>
  </si>
  <si>
    <t>四川省汉源县两溪乡新民村1社</t>
  </si>
  <si>
    <t>擦同岩滑坡</t>
  </si>
  <si>
    <t>四川省汉源县建黎乡同民村4、5社</t>
  </si>
  <si>
    <t>定期目视检查$安装简易监测设施$地面位移监测</t>
  </si>
  <si>
    <t>擦耳岩滑坡</t>
  </si>
  <si>
    <t>H052</t>
  </si>
  <si>
    <t>四川省雅安市汉源县建黎乡同明村</t>
  </si>
  <si>
    <t>四川省汉源县两溪乡民安村2社</t>
  </si>
  <si>
    <t>朱家湾滑坡</t>
  </si>
  <si>
    <t>H054</t>
  </si>
  <si>
    <t>四川省雅安市汉源县建黎乡启明村</t>
  </si>
  <si>
    <t>四川省汉源县建黎乡启明村4社</t>
  </si>
  <si>
    <t>青岗林滑坡</t>
  </si>
  <si>
    <t>H053</t>
  </si>
  <si>
    <t>四川省汉源县建黎乡同明村3社</t>
  </si>
  <si>
    <t>小坟院滑坡</t>
  </si>
  <si>
    <t>四川省汉源县两溪乡民安村3社</t>
  </si>
  <si>
    <t>四川省汉源县市荣乡太平村1、9、10、11社</t>
  </si>
  <si>
    <t>砂岩,页岩</t>
  </si>
  <si>
    <t>土地尖滑坡</t>
  </si>
  <si>
    <t>H142</t>
  </si>
  <si>
    <t>红岩子滑坡</t>
  </si>
  <si>
    <t>H023</t>
  </si>
  <si>
    <t>四川省雅安市汉源县大堰乡林政村</t>
  </si>
  <si>
    <t>白梨树上滑坡</t>
  </si>
  <si>
    <t>四川省汉源县大堰乡村政村4社</t>
  </si>
  <si>
    <t>H141</t>
  </si>
  <si>
    <t>曾家沟泥石流</t>
  </si>
  <si>
    <t>四川省汉源县宜东乡广安村3、4社</t>
  </si>
  <si>
    <t>曹家沟泥石流</t>
  </si>
  <si>
    <t>N001</t>
  </si>
  <si>
    <t>四川省雅安市汉源县宜东乡广安村</t>
  </si>
  <si>
    <t>小关山危岩体</t>
  </si>
  <si>
    <t>四川省汉源县宜东乡大安村6社</t>
  </si>
  <si>
    <t>白杨坡滑坡</t>
  </si>
  <si>
    <t>H005</t>
  </si>
  <si>
    <t>四川省雅安市汉源县宜东镇群安村</t>
  </si>
  <si>
    <t>白羊坡滑坡</t>
  </si>
  <si>
    <t>四川省汉源县宜东乡群东村1社</t>
  </si>
  <si>
    <t>宜东向斜北部</t>
  </si>
  <si>
    <t>大安6组崩塌</t>
  </si>
  <si>
    <t>B001</t>
  </si>
  <si>
    <t>四川省雅安市汉源县宜东镇大安村</t>
  </si>
  <si>
    <t>关地头滑坡</t>
  </si>
  <si>
    <t>四川省汉源县宜东乡长荣村4社</t>
  </si>
  <si>
    <t>达马坪滑坡</t>
  </si>
  <si>
    <t>四川省汉源县宜东乡群龙村3社</t>
  </si>
  <si>
    <t>打马坪滑坡</t>
  </si>
  <si>
    <t>H004</t>
  </si>
  <si>
    <t>旺角营滑坡</t>
  </si>
  <si>
    <t>四川省汉源县宜东乡长荣村2、3社</t>
  </si>
  <si>
    <t>大河沟滑坡</t>
  </si>
  <si>
    <t>H007</t>
  </si>
  <si>
    <t>四川省雅安市汉源县宜东镇银安村</t>
  </si>
  <si>
    <t>四川省汉源县宜东乡银安村2社</t>
  </si>
  <si>
    <t>大坡上滑坡</t>
  </si>
  <si>
    <t>四川省汉源县三交乡永河村7社</t>
  </si>
  <si>
    <t>粘土</t>
  </si>
  <si>
    <t>佘家湾滑坡</t>
  </si>
  <si>
    <t>H006</t>
  </si>
  <si>
    <t>桥楼子滑坡</t>
  </si>
  <si>
    <t>四川省汉源县宜东乡天足村6、7、8、9社</t>
  </si>
  <si>
    <t>H012</t>
  </si>
  <si>
    <t>四川省雅安市汉源县宜东镇天罡村</t>
  </si>
  <si>
    <t>大沟头滑坡</t>
  </si>
  <si>
    <t>H011</t>
  </si>
  <si>
    <t>四川省雅安市汉源县宜东镇众安村</t>
  </si>
  <si>
    <t>堰坎上滑坡2</t>
  </si>
  <si>
    <t>四川省汉源县宜东乡富乡村4、5、6社</t>
  </si>
  <si>
    <t>永和村4组滑坡</t>
  </si>
  <si>
    <t>H002</t>
  </si>
  <si>
    <t>四川省雅安市汉源县三交乡永和村</t>
  </si>
  <si>
    <t>富乡村4、5、6组滑坡</t>
  </si>
  <si>
    <t>H010</t>
  </si>
  <si>
    <t>四川省雅安市汉源县宜东镇富乡村</t>
  </si>
  <si>
    <t>华兴嘴滑坡</t>
  </si>
  <si>
    <t>四川省汉源县宜东乡富乡村7、8社</t>
  </si>
  <si>
    <t>富乡村7、8组滑坡</t>
  </si>
  <si>
    <t>H009</t>
  </si>
  <si>
    <t>大坎滑坡</t>
  </si>
  <si>
    <t>四川省汉源县三交乡永河村4社</t>
  </si>
  <si>
    <t>永和村七组滑坡</t>
  </si>
  <si>
    <t>H003</t>
  </si>
  <si>
    <t>H008</t>
  </si>
  <si>
    <t>四川省雅安市汉源县三交乡高桥村</t>
  </si>
  <si>
    <t>大湾头1号滑坡</t>
  </si>
  <si>
    <t>H016</t>
  </si>
  <si>
    <t>大湾头2号滑坡</t>
  </si>
  <si>
    <t>H017</t>
  </si>
  <si>
    <t>草三岗滑坡</t>
  </si>
  <si>
    <t>四川省汉源县三交乡三交村3社</t>
  </si>
  <si>
    <t>孔隙水$裂隙水$承压水</t>
  </si>
  <si>
    <t>三交村3、4组滑坡</t>
  </si>
  <si>
    <t>H014</t>
  </si>
  <si>
    <t>四川省雅安市汉源县三交乡三交村</t>
  </si>
  <si>
    <t>滑坡（村口）</t>
  </si>
  <si>
    <t>四川省汉源县三交乡汉恩村5社</t>
  </si>
  <si>
    <t>汉恩五组滑坡</t>
  </si>
  <si>
    <t>H001</t>
  </si>
  <si>
    <t>四川省雅安市汉源县三交乡汉恩村</t>
  </si>
  <si>
    <t>公留地危岩</t>
  </si>
  <si>
    <t>四川省汉源县永利乡古路村3社</t>
  </si>
  <si>
    <t>马鞍山危岩</t>
  </si>
  <si>
    <t>四川省汉源县永利乡杨树村5社</t>
  </si>
  <si>
    <t>马鞍山危岩带</t>
  </si>
  <si>
    <t>B010</t>
  </si>
  <si>
    <t>四川省雅安市汉源县永利乡桂树村</t>
  </si>
  <si>
    <t>庙儿沟滑坡</t>
  </si>
  <si>
    <t>四川省汉源县永利乡竹坪村3社</t>
  </si>
  <si>
    <t>粉质砂岩</t>
  </si>
  <si>
    <t>H094</t>
  </si>
  <si>
    <t>四川省雅安市汉源县永利乡竹坪村</t>
  </si>
  <si>
    <t>磨盘乡崩塌</t>
  </si>
  <si>
    <t>四川省汉源县永利乡杨树村1、2、3社</t>
  </si>
  <si>
    <t>Rowid</t>
  </si>
  <si>
    <t>VALUE</t>
  </si>
  <si>
    <t>COUNT</t>
  </si>
  <si>
    <t>灾害点</t>
    <phoneticPr fontId="2" type="noConversion"/>
  </si>
  <si>
    <t>面积比</t>
    <phoneticPr fontId="2" type="noConversion"/>
  </si>
  <si>
    <t>灾害比</t>
    <phoneticPr fontId="2" type="noConversion"/>
  </si>
  <si>
    <t>频率比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</si>
</sst>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7" formatCode="0.000%"/>
    <numFmt numFmtId="183" formatCode="0.000"/>
  </numFmts>
  <fonts count="3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77" fontId="0" fillId="0" borderId="0" xfId="1" applyNumberFormat="1" applyFont="1">
      <alignment vertical="center"/>
    </xf>
    <xf numFmtId="183" fontId="0" fillId="0" borderId="0" xfId="0" applyNumberFormat="1">
      <alignment vertical="center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3F484-E947-4A2E-9D9D-031CBD934484}">
  <dimension ref="A1:AA491"/>
  <sheetViews>
    <sheetView tabSelected="1" workbookViewId="0">
      <selection activeCell="H14" sqref="H14"/>
    </sheetView>
  </sheetViews>
  <sheetFormatPr defaultRowHeight="13.8" x14ac:dyDescent="0.25"/>
  <cols>
    <col min="8" max="8" width="15.554687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25">
      <c r="A2">
        <v>0</v>
      </c>
      <c r="B2" t="s">
        <v>27</v>
      </c>
      <c r="C2">
        <v>569</v>
      </c>
      <c r="D2" t="s">
        <v>28</v>
      </c>
      <c r="E2">
        <v>5118230000129000</v>
      </c>
      <c r="F2">
        <v>5118230000129000</v>
      </c>
      <c r="G2" t="s">
        <v>29</v>
      </c>
      <c r="H2">
        <v>129</v>
      </c>
      <c r="I2">
        <v>6253380129</v>
      </c>
      <c r="J2" t="s">
        <v>30</v>
      </c>
      <c r="K2" t="s">
        <v>32</v>
      </c>
      <c r="L2" t="s">
        <v>31</v>
      </c>
      <c r="M2" t="s">
        <v>31</v>
      </c>
      <c r="N2">
        <v>0</v>
      </c>
      <c r="O2" t="s">
        <v>33</v>
      </c>
      <c r="P2" t="s">
        <v>34</v>
      </c>
      <c r="Q2" t="s">
        <v>35</v>
      </c>
      <c r="R2" t="s">
        <v>36</v>
      </c>
      <c r="S2" t="s">
        <v>36</v>
      </c>
      <c r="T2">
        <v>175</v>
      </c>
      <c r="U2">
        <v>250</v>
      </c>
      <c r="V2" t="s">
        <v>37</v>
      </c>
      <c r="W2" t="s">
        <v>38</v>
      </c>
      <c r="X2" t="s">
        <v>39</v>
      </c>
      <c r="Y2">
        <v>0</v>
      </c>
      <c r="Z2" t="s">
        <v>40</v>
      </c>
      <c r="AA2">
        <v>0</v>
      </c>
    </row>
    <row r="3" spans="1:27" x14ac:dyDescent="0.25">
      <c r="A3">
        <v>1</v>
      </c>
      <c r="B3" t="s">
        <v>27</v>
      </c>
      <c r="C3">
        <v>876</v>
      </c>
      <c r="D3" t="s">
        <v>41</v>
      </c>
      <c r="E3">
        <v>5118230320000100</v>
      </c>
      <c r="F3">
        <v>5118230320000100</v>
      </c>
      <c r="G3" t="s">
        <v>42</v>
      </c>
      <c r="H3" t="s">
        <v>43</v>
      </c>
      <c r="I3" t="s">
        <v>31</v>
      </c>
      <c r="J3" t="s">
        <v>30</v>
      </c>
      <c r="K3" t="s">
        <v>44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>
        <v>54</v>
      </c>
      <c r="U3">
        <v>85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>
        <v>0</v>
      </c>
    </row>
    <row r="4" spans="1:27" x14ac:dyDescent="0.25">
      <c r="A4">
        <v>2</v>
      </c>
      <c r="B4" t="s">
        <v>27</v>
      </c>
      <c r="C4">
        <v>944</v>
      </c>
      <c r="D4" t="s">
        <v>41</v>
      </c>
      <c r="E4">
        <v>5118232240000100</v>
      </c>
      <c r="F4">
        <v>5118232240000100</v>
      </c>
      <c r="G4" t="s">
        <v>42</v>
      </c>
      <c r="H4" t="s">
        <v>43</v>
      </c>
      <c r="I4" t="s">
        <v>31</v>
      </c>
      <c r="J4" t="s">
        <v>30</v>
      </c>
      <c r="K4" t="s">
        <v>44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>
        <v>54</v>
      </c>
      <c r="U4">
        <v>85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>
        <v>0</v>
      </c>
    </row>
    <row r="5" spans="1:27" x14ac:dyDescent="0.25">
      <c r="A5">
        <v>3</v>
      </c>
      <c r="B5" t="s">
        <v>27</v>
      </c>
      <c r="C5">
        <v>442</v>
      </c>
      <c r="D5" t="s">
        <v>41</v>
      </c>
      <c r="E5">
        <v>5118230000001000</v>
      </c>
      <c r="F5">
        <v>5118230000001000</v>
      </c>
      <c r="G5" t="s">
        <v>45</v>
      </c>
      <c r="H5">
        <v>1</v>
      </c>
      <c r="I5">
        <v>6253000001</v>
      </c>
      <c r="J5" t="s">
        <v>30</v>
      </c>
      <c r="K5" t="s">
        <v>46</v>
      </c>
      <c r="L5" t="s">
        <v>31</v>
      </c>
      <c r="M5" t="s">
        <v>31</v>
      </c>
      <c r="N5">
        <v>0</v>
      </c>
      <c r="O5" t="s">
        <v>31</v>
      </c>
      <c r="P5" t="s">
        <v>31</v>
      </c>
      <c r="Q5" t="s">
        <v>47</v>
      </c>
      <c r="R5" t="s">
        <v>31</v>
      </c>
      <c r="S5" t="s">
        <v>31</v>
      </c>
      <c r="T5">
        <v>115</v>
      </c>
      <c r="U5">
        <v>200</v>
      </c>
      <c r="V5" t="s">
        <v>31</v>
      </c>
      <c r="W5" t="s">
        <v>38</v>
      </c>
      <c r="X5" t="s">
        <v>48</v>
      </c>
      <c r="Y5">
        <v>0</v>
      </c>
      <c r="Z5" t="s">
        <v>49</v>
      </c>
      <c r="AA5">
        <v>0</v>
      </c>
    </row>
    <row r="6" spans="1:27" x14ac:dyDescent="0.25">
      <c r="A6">
        <v>4</v>
      </c>
      <c r="B6" t="s">
        <v>27</v>
      </c>
      <c r="C6">
        <v>558</v>
      </c>
      <c r="D6" t="s">
        <v>41</v>
      </c>
      <c r="E6">
        <v>5118230000118000</v>
      </c>
      <c r="F6">
        <v>5118230000118000</v>
      </c>
      <c r="G6" t="s">
        <v>50</v>
      </c>
      <c r="H6">
        <v>118</v>
      </c>
      <c r="I6">
        <v>6253120118</v>
      </c>
      <c r="J6" t="s">
        <v>30</v>
      </c>
      <c r="K6" t="s">
        <v>51</v>
      </c>
      <c r="L6" t="s">
        <v>31</v>
      </c>
      <c r="M6" t="s">
        <v>31</v>
      </c>
      <c r="N6">
        <v>0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>
        <v>54</v>
      </c>
      <c r="U6">
        <v>54</v>
      </c>
      <c r="V6" t="s">
        <v>31</v>
      </c>
      <c r="W6" t="s">
        <v>52</v>
      </c>
      <c r="X6" t="s">
        <v>39</v>
      </c>
      <c r="Y6">
        <v>0</v>
      </c>
      <c r="Z6" t="s">
        <v>49</v>
      </c>
      <c r="AA6">
        <v>0</v>
      </c>
    </row>
    <row r="7" spans="1:27" x14ac:dyDescent="0.25">
      <c r="A7">
        <v>5</v>
      </c>
      <c r="B7" t="s">
        <v>27</v>
      </c>
      <c r="C7">
        <v>875</v>
      </c>
      <c r="D7" t="s">
        <v>53</v>
      </c>
      <c r="E7">
        <v>5118230320000100</v>
      </c>
      <c r="F7">
        <v>5118230320000100</v>
      </c>
      <c r="G7" t="s">
        <v>54</v>
      </c>
      <c r="H7" t="s">
        <v>55</v>
      </c>
      <c r="I7" t="s">
        <v>31</v>
      </c>
      <c r="J7" t="s">
        <v>30</v>
      </c>
      <c r="K7" t="s">
        <v>56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>
        <v>12</v>
      </c>
      <c r="U7">
        <v>15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>
        <v>0</v>
      </c>
    </row>
    <row r="8" spans="1:27" x14ac:dyDescent="0.25">
      <c r="A8">
        <v>6</v>
      </c>
      <c r="B8" t="s">
        <v>27</v>
      </c>
      <c r="C8">
        <v>557</v>
      </c>
      <c r="D8" t="s">
        <v>53</v>
      </c>
      <c r="E8">
        <v>5118230000117000</v>
      </c>
      <c r="F8">
        <v>5118230000117000</v>
      </c>
      <c r="G8" t="s">
        <v>57</v>
      </c>
      <c r="H8">
        <v>117</v>
      </c>
      <c r="I8">
        <v>6253120117</v>
      </c>
      <c r="J8" t="s">
        <v>30</v>
      </c>
      <c r="K8" t="s">
        <v>58</v>
      </c>
      <c r="L8" t="s">
        <v>31</v>
      </c>
      <c r="M8" t="s">
        <v>31</v>
      </c>
      <c r="N8">
        <v>0</v>
      </c>
      <c r="O8" t="s">
        <v>59</v>
      </c>
      <c r="P8" t="s">
        <v>60</v>
      </c>
      <c r="Q8" t="s">
        <v>47</v>
      </c>
      <c r="R8" t="s">
        <v>61</v>
      </c>
      <c r="S8" t="s">
        <v>61</v>
      </c>
      <c r="T8">
        <v>12</v>
      </c>
      <c r="U8">
        <v>30</v>
      </c>
      <c r="V8" t="s">
        <v>31</v>
      </c>
      <c r="W8" t="s">
        <v>52</v>
      </c>
      <c r="X8" t="s">
        <v>39</v>
      </c>
      <c r="Y8">
        <v>0</v>
      </c>
      <c r="Z8" t="s">
        <v>40</v>
      </c>
      <c r="AA8">
        <v>0</v>
      </c>
    </row>
    <row r="9" spans="1:27" x14ac:dyDescent="0.25">
      <c r="A9">
        <v>7</v>
      </c>
      <c r="B9" t="s">
        <v>27</v>
      </c>
      <c r="C9">
        <v>880</v>
      </c>
      <c r="D9" t="s">
        <v>53</v>
      </c>
      <c r="E9">
        <v>5118230320040100</v>
      </c>
      <c r="F9">
        <v>5118230320040100</v>
      </c>
      <c r="G9" t="s">
        <v>62</v>
      </c>
      <c r="H9" t="s">
        <v>63</v>
      </c>
      <c r="I9" t="s">
        <v>31</v>
      </c>
      <c r="J9" t="s">
        <v>30</v>
      </c>
      <c r="K9" t="s">
        <v>64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>
        <v>35</v>
      </c>
      <c r="U9">
        <v>46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>
        <v>0</v>
      </c>
    </row>
    <row r="10" spans="1:27" x14ac:dyDescent="0.25">
      <c r="A10">
        <v>8</v>
      </c>
      <c r="B10" t="s">
        <v>27</v>
      </c>
      <c r="C10">
        <v>524</v>
      </c>
      <c r="D10" t="s">
        <v>53</v>
      </c>
      <c r="E10">
        <v>5118230000083000</v>
      </c>
      <c r="F10">
        <v>5118230000083000</v>
      </c>
      <c r="G10" t="s">
        <v>65</v>
      </c>
      <c r="H10">
        <v>83</v>
      </c>
      <c r="I10">
        <v>6253120083</v>
      </c>
      <c r="J10" t="s">
        <v>30</v>
      </c>
      <c r="K10" t="s">
        <v>66</v>
      </c>
      <c r="L10" t="s">
        <v>31</v>
      </c>
      <c r="M10" t="s">
        <v>31</v>
      </c>
      <c r="N10">
        <v>0</v>
      </c>
      <c r="O10" t="s">
        <v>67</v>
      </c>
      <c r="P10" t="s">
        <v>68</v>
      </c>
      <c r="Q10" t="s">
        <v>47</v>
      </c>
      <c r="R10" t="s">
        <v>61</v>
      </c>
      <c r="S10" t="s">
        <v>61</v>
      </c>
      <c r="T10">
        <v>25</v>
      </c>
      <c r="U10">
        <v>80</v>
      </c>
      <c r="V10" t="s">
        <v>31</v>
      </c>
      <c r="W10" t="s">
        <v>52</v>
      </c>
      <c r="X10" t="s">
        <v>39</v>
      </c>
      <c r="Y10">
        <v>0</v>
      </c>
      <c r="Z10" t="s">
        <v>40</v>
      </c>
      <c r="AA10">
        <v>0</v>
      </c>
    </row>
    <row r="11" spans="1:27" x14ac:dyDescent="0.25">
      <c r="A11">
        <v>9</v>
      </c>
      <c r="B11" t="s">
        <v>27</v>
      </c>
      <c r="C11">
        <v>879</v>
      </c>
      <c r="D11" t="s">
        <v>53</v>
      </c>
      <c r="E11">
        <v>5118230320030100</v>
      </c>
      <c r="F11">
        <v>5118230320030100</v>
      </c>
      <c r="G11" t="s">
        <v>69</v>
      </c>
      <c r="H11" t="s">
        <v>70</v>
      </c>
      <c r="I11" t="s">
        <v>31</v>
      </c>
      <c r="J11" t="s">
        <v>30</v>
      </c>
      <c r="K11" t="s">
        <v>64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31</v>
      </c>
      <c r="S11" t="s">
        <v>31</v>
      </c>
      <c r="T11">
        <v>10</v>
      </c>
      <c r="U11">
        <v>13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>
        <v>0</v>
      </c>
    </row>
    <row r="12" spans="1:27" x14ac:dyDescent="0.25">
      <c r="A12">
        <v>10</v>
      </c>
      <c r="B12" t="s">
        <v>27</v>
      </c>
      <c r="C12">
        <v>545</v>
      </c>
      <c r="D12" t="s">
        <v>28</v>
      </c>
      <c r="E12">
        <v>5118230000104000</v>
      </c>
      <c r="F12">
        <v>5118230000104000</v>
      </c>
      <c r="G12" t="s">
        <v>71</v>
      </c>
      <c r="H12">
        <v>104</v>
      </c>
      <c r="I12">
        <v>6253150104</v>
      </c>
      <c r="J12" t="s">
        <v>30</v>
      </c>
      <c r="K12" t="s">
        <v>72</v>
      </c>
      <c r="L12" t="s">
        <v>31</v>
      </c>
      <c r="M12" t="s">
        <v>31</v>
      </c>
      <c r="N12">
        <v>0</v>
      </c>
      <c r="O12" t="s">
        <v>59</v>
      </c>
      <c r="P12" t="s">
        <v>31</v>
      </c>
      <c r="Q12" t="s">
        <v>35</v>
      </c>
      <c r="R12" t="s">
        <v>73</v>
      </c>
      <c r="S12" t="s">
        <v>73</v>
      </c>
      <c r="T12">
        <v>0</v>
      </c>
      <c r="U12">
        <v>1</v>
      </c>
      <c r="V12" t="s">
        <v>37</v>
      </c>
      <c r="W12" t="s">
        <v>37</v>
      </c>
      <c r="X12" t="s">
        <v>39</v>
      </c>
      <c r="Y12">
        <v>0</v>
      </c>
      <c r="Z12" t="s">
        <v>40</v>
      </c>
      <c r="AA12">
        <v>0</v>
      </c>
    </row>
    <row r="13" spans="1:27" x14ac:dyDescent="0.25">
      <c r="A13">
        <v>11</v>
      </c>
      <c r="B13" t="s">
        <v>27</v>
      </c>
      <c r="C13">
        <v>891</v>
      </c>
      <c r="D13" t="s">
        <v>28</v>
      </c>
      <c r="E13">
        <v>5118230340000100</v>
      </c>
      <c r="F13">
        <v>5118230340000100</v>
      </c>
      <c r="G13" t="s">
        <v>74</v>
      </c>
      <c r="H13" t="s">
        <v>75</v>
      </c>
      <c r="I13" t="s">
        <v>31</v>
      </c>
      <c r="J13" t="s">
        <v>30</v>
      </c>
      <c r="K13" t="s">
        <v>76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>
        <v>0</v>
      </c>
      <c r="U13">
        <v>5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>
        <v>0</v>
      </c>
    </row>
    <row r="14" spans="1:27" x14ac:dyDescent="0.25">
      <c r="A14">
        <v>12</v>
      </c>
      <c r="B14" t="s">
        <v>27</v>
      </c>
      <c r="C14">
        <v>527</v>
      </c>
      <c r="D14" t="s">
        <v>53</v>
      </c>
      <c r="E14">
        <v>5118230000086000</v>
      </c>
      <c r="F14">
        <v>5118230000086000</v>
      </c>
      <c r="G14" t="s">
        <v>69</v>
      </c>
      <c r="H14">
        <v>86</v>
      </c>
      <c r="I14">
        <v>6253120086</v>
      </c>
      <c r="J14" t="s">
        <v>30</v>
      </c>
      <c r="K14" t="s">
        <v>77</v>
      </c>
      <c r="L14" t="s">
        <v>31</v>
      </c>
      <c r="M14" t="s">
        <v>31</v>
      </c>
      <c r="N14">
        <v>0</v>
      </c>
      <c r="O14" t="s">
        <v>59</v>
      </c>
      <c r="P14" t="s">
        <v>60</v>
      </c>
      <c r="Q14" t="s">
        <v>47</v>
      </c>
      <c r="R14" t="s">
        <v>61</v>
      </c>
      <c r="S14" t="s">
        <v>61</v>
      </c>
      <c r="T14">
        <v>52</v>
      </c>
      <c r="U14">
        <v>70</v>
      </c>
      <c r="V14" t="s">
        <v>31</v>
      </c>
      <c r="W14" t="s">
        <v>52</v>
      </c>
      <c r="X14" t="s">
        <v>39</v>
      </c>
      <c r="Y14">
        <v>0</v>
      </c>
      <c r="Z14" t="s">
        <v>40</v>
      </c>
      <c r="AA14">
        <v>0</v>
      </c>
    </row>
    <row r="15" spans="1:27" x14ac:dyDescent="0.25">
      <c r="A15">
        <v>13</v>
      </c>
      <c r="B15" t="s">
        <v>27</v>
      </c>
      <c r="C15">
        <v>878</v>
      </c>
      <c r="D15" t="s">
        <v>53</v>
      </c>
      <c r="E15">
        <v>5118230320020100</v>
      </c>
      <c r="F15">
        <v>5118230320020100</v>
      </c>
      <c r="G15" t="s">
        <v>78</v>
      </c>
      <c r="H15" t="s">
        <v>79</v>
      </c>
      <c r="I15" t="s">
        <v>31</v>
      </c>
      <c r="J15" t="s">
        <v>30</v>
      </c>
      <c r="K15" t="s">
        <v>64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>
        <v>49</v>
      </c>
      <c r="U15">
        <v>60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>
        <v>0</v>
      </c>
    </row>
    <row r="16" spans="1:27" x14ac:dyDescent="0.25">
      <c r="A16">
        <v>14</v>
      </c>
      <c r="B16" t="s">
        <v>27</v>
      </c>
      <c r="C16">
        <v>559</v>
      </c>
      <c r="D16" t="s">
        <v>53</v>
      </c>
      <c r="E16">
        <v>5118230000119000</v>
      </c>
      <c r="F16">
        <v>5118230000119000</v>
      </c>
      <c r="G16" t="s">
        <v>78</v>
      </c>
      <c r="H16">
        <v>119</v>
      </c>
      <c r="I16">
        <v>6253120119</v>
      </c>
      <c r="J16" t="s">
        <v>30</v>
      </c>
      <c r="K16" t="s">
        <v>80</v>
      </c>
      <c r="L16" t="s">
        <v>31</v>
      </c>
      <c r="M16" t="s">
        <v>31</v>
      </c>
      <c r="N16">
        <v>0</v>
      </c>
      <c r="O16" t="s">
        <v>67</v>
      </c>
      <c r="P16" t="s">
        <v>81</v>
      </c>
      <c r="Q16" t="s">
        <v>47</v>
      </c>
      <c r="R16" t="s">
        <v>61</v>
      </c>
      <c r="S16" t="s">
        <v>61</v>
      </c>
      <c r="T16">
        <v>31</v>
      </c>
      <c r="U16">
        <v>100</v>
      </c>
      <c r="V16" t="s">
        <v>37</v>
      </c>
      <c r="W16" t="s">
        <v>52</v>
      </c>
      <c r="X16" t="s">
        <v>39</v>
      </c>
      <c r="Y16">
        <v>0</v>
      </c>
      <c r="Z16" t="s">
        <v>40</v>
      </c>
      <c r="AA16">
        <v>20</v>
      </c>
    </row>
    <row r="17" spans="1:27" x14ac:dyDescent="0.25">
      <c r="A17">
        <v>15</v>
      </c>
      <c r="B17" t="s">
        <v>27</v>
      </c>
      <c r="C17">
        <v>546</v>
      </c>
      <c r="D17" t="s">
        <v>53</v>
      </c>
      <c r="E17">
        <v>5118230000105000</v>
      </c>
      <c r="F17">
        <v>5118230000105000</v>
      </c>
      <c r="G17" t="s">
        <v>82</v>
      </c>
      <c r="H17">
        <v>105</v>
      </c>
      <c r="I17">
        <v>6253150105</v>
      </c>
      <c r="J17" t="s">
        <v>30</v>
      </c>
      <c r="K17" t="s">
        <v>83</v>
      </c>
      <c r="L17" t="s">
        <v>31</v>
      </c>
      <c r="M17" t="s">
        <v>31</v>
      </c>
      <c r="N17">
        <v>0</v>
      </c>
      <c r="O17" t="s">
        <v>59</v>
      </c>
      <c r="P17" t="s">
        <v>84</v>
      </c>
      <c r="Q17" t="s">
        <v>35</v>
      </c>
      <c r="R17" t="s">
        <v>31</v>
      </c>
      <c r="S17" t="s">
        <v>61</v>
      </c>
      <c r="T17">
        <v>105</v>
      </c>
      <c r="U17">
        <v>260</v>
      </c>
      <c r="V17" t="s">
        <v>52</v>
      </c>
      <c r="W17" t="s">
        <v>38</v>
      </c>
      <c r="X17" t="s">
        <v>85</v>
      </c>
      <c r="Y17">
        <v>0</v>
      </c>
      <c r="Z17" t="s">
        <v>40</v>
      </c>
      <c r="AA17">
        <v>1</v>
      </c>
    </row>
    <row r="18" spans="1:27" x14ac:dyDescent="0.25">
      <c r="A18">
        <v>16</v>
      </c>
      <c r="B18" t="s">
        <v>27</v>
      </c>
      <c r="C18">
        <v>892</v>
      </c>
      <c r="D18" t="s">
        <v>53</v>
      </c>
      <c r="E18">
        <v>5118230340010100</v>
      </c>
      <c r="F18">
        <v>5118230340010100</v>
      </c>
      <c r="G18" t="s">
        <v>86</v>
      </c>
      <c r="H18" t="s">
        <v>87</v>
      </c>
      <c r="I18" t="s">
        <v>31</v>
      </c>
      <c r="J18" t="s">
        <v>30</v>
      </c>
      <c r="K18" t="s">
        <v>88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>
        <v>125</v>
      </c>
      <c r="U18">
        <v>185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>
        <v>0</v>
      </c>
    </row>
    <row r="19" spans="1:27" x14ac:dyDescent="0.25">
      <c r="A19">
        <v>17</v>
      </c>
      <c r="B19" t="s">
        <v>27</v>
      </c>
      <c r="C19">
        <v>742</v>
      </c>
      <c r="D19" t="s">
        <v>53</v>
      </c>
      <c r="E19">
        <v>5118230090010100</v>
      </c>
      <c r="F19">
        <v>5118230090010100</v>
      </c>
      <c r="G19" t="s">
        <v>89</v>
      </c>
      <c r="H19" t="s">
        <v>90</v>
      </c>
      <c r="I19" t="s">
        <v>31</v>
      </c>
      <c r="J19" t="s">
        <v>30</v>
      </c>
      <c r="K19" t="s">
        <v>91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>
        <v>22</v>
      </c>
      <c r="U19">
        <v>53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>
        <v>0</v>
      </c>
    </row>
    <row r="20" spans="1:27" x14ac:dyDescent="0.25">
      <c r="A20">
        <v>18</v>
      </c>
      <c r="B20" t="s">
        <v>27</v>
      </c>
      <c r="C20">
        <v>572</v>
      </c>
      <c r="D20" t="s">
        <v>53</v>
      </c>
      <c r="E20">
        <v>5118230000132000</v>
      </c>
      <c r="F20">
        <v>5118230000132000</v>
      </c>
      <c r="G20" t="s">
        <v>92</v>
      </c>
      <c r="H20">
        <v>132</v>
      </c>
      <c r="I20">
        <v>6253390132</v>
      </c>
      <c r="J20" t="s">
        <v>30</v>
      </c>
      <c r="K20" t="s">
        <v>93</v>
      </c>
      <c r="L20" t="s">
        <v>31</v>
      </c>
      <c r="M20" t="s">
        <v>31</v>
      </c>
      <c r="N20">
        <v>0</v>
      </c>
      <c r="O20" t="s">
        <v>59</v>
      </c>
      <c r="P20" t="s">
        <v>94</v>
      </c>
      <c r="Q20" t="s">
        <v>47</v>
      </c>
      <c r="R20" t="s">
        <v>61</v>
      </c>
      <c r="S20" t="s">
        <v>61</v>
      </c>
      <c r="T20">
        <v>22</v>
      </c>
      <c r="U20">
        <v>70</v>
      </c>
      <c r="V20" t="s">
        <v>31</v>
      </c>
      <c r="W20" t="s">
        <v>52</v>
      </c>
      <c r="X20" t="s">
        <v>39</v>
      </c>
      <c r="Y20">
        <v>0</v>
      </c>
      <c r="Z20" t="s">
        <v>40</v>
      </c>
      <c r="AA20">
        <v>0</v>
      </c>
    </row>
    <row r="21" spans="1:27" x14ac:dyDescent="0.25">
      <c r="A21">
        <v>19</v>
      </c>
      <c r="B21" t="s">
        <v>27</v>
      </c>
      <c r="C21">
        <v>890</v>
      </c>
      <c r="D21" t="s">
        <v>53</v>
      </c>
      <c r="E21">
        <v>5118230340000100</v>
      </c>
      <c r="F21">
        <v>5118230340000100</v>
      </c>
      <c r="G21" t="s">
        <v>95</v>
      </c>
      <c r="H21" t="s">
        <v>96</v>
      </c>
      <c r="I21" t="s">
        <v>31</v>
      </c>
      <c r="J21" t="s">
        <v>30</v>
      </c>
      <c r="K21" t="s">
        <v>76</v>
      </c>
      <c r="L21" t="s">
        <v>31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>
        <v>23</v>
      </c>
      <c r="U21">
        <v>33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>
        <v>0</v>
      </c>
    </row>
    <row r="22" spans="1:27" x14ac:dyDescent="0.25">
      <c r="A22">
        <v>20</v>
      </c>
      <c r="B22" t="s">
        <v>27</v>
      </c>
      <c r="C22">
        <v>547</v>
      </c>
      <c r="D22" t="s">
        <v>53</v>
      </c>
      <c r="E22">
        <v>5118230000106000</v>
      </c>
      <c r="F22">
        <v>5118230000106000</v>
      </c>
      <c r="G22" t="s">
        <v>95</v>
      </c>
      <c r="H22">
        <v>106</v>
      </c>
      <c r="I22">
        <v>6253150106</v>
      </c>
      <c r="J22" t="s">
        <v>30</v>
      </c>
      <c r="K22" t="s">
        <v>97</v>
      </c>
      <c r="L22" t="s">
        <v>31</v>
      </c>
      <c r="M22" t="s">
        <v>31</v>
      </c>
      <c r="N22">
        <v>0</v>
      </c>
      <c r="O22" t="s">
        <v>59</v>
      </c>
      <c r="P22" t="s">
        <v>94</v>
      </c>
      <c r="Q22" t="s">
        <v>98</v>
      </c>
      <c r="R22" t="s">
        <v>61</v>
      </c>
      <c r="S22" t="s">
        <v>61</v>
      </c>
      <c r="T22">
        <v>53</v>
      </c>
      <c r="U22">
        <v>130</v>
      </c>
      <c r="V22" t="s">
        <v>31</v>
      </c>
      <c r="W22" t="s">
        <v>52</v>
      </c>
      <c r="X22" t="s">
        <v>99</v>
      </c>
      <c r="Y22">
        <v>0</v>
      </c>
      <c r="Z22" t="s">
        <v>40</v>
      </c>
      <c r="AA22">
        <v>4</v>
      </c>
    </row>
    <row r="23" spans="1:27" x14ac:dyDescent="0.25">
      <c r="A23">
        <v>21</v>
      </c>
      <c r="B23" t="s">
        <v>27</v>
      </c>
      <c r="C23">
        <v>908</v>
      </c>
      <c r="D23" t="s">
        <v>53</v>
      </c>
      <c r="E23">
        <v>5118230390020100</v>
      </c>
      <c r="F23">
        <v>5118230390020100</v>
      </c>
      <c r="G23" t="s">
        <v>100</v>
      </c>
      <c r="H23" t="s">
        <v>101</v>
      </c>
      <c r="I23" t="s">
        <v>31</v>
      </c>
      <c r="J23" t="s">
        <v>30</v>
      </c>
      <c r="K23" t="s">
        <v>102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>
        <v>0</v>
      </c>
      <c r="U23">
        <v>12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>
        <v>0</v>
      </c>
    </row>
    <row r="24" spans="1:27" x14ac:dyDescent="0.25">
      <c r="A24">
        <v>22</v>
      </c>
      <c r="B24" t="s">
        <v>27</v>
      </c>
      <c r="C24">
        <v>560</v>
      </c>
      <c r="D24" t="s">
        <v>53</v>
      </c>
      <c r="E24">
        <v>5118230000120000</v>
      </c>
      <c r="F24">
        <v>5118230000120000</v>
      </c>
      <c r="G24" t="s">
        <v>103</v>
      </c>
      <c r="H24">
        <v>120</v>
      </c>
      <c r="I24">
        <v>6253120120</v>
      </c>
      <c r="J24" t="s">
        <v>30</v>
      </c>
      <c r="K24" t="s">
        <v>104</v>
      </c>
      <c r="L24" t="s">
        <v>31</v>
      </c>
      <c r="M24" t="s">
        <v>31</v>
      </c>
      <c r="N24">
        <v>0</v>
      </c>
      <c r="O24" t="s">
        <v>59</v>
      </c>
      <c r="P24" t="s">
        <v>105</v>
      </c>
      <c r="Q24" t="s">
        <v>47</v>
      </c>
      <c r="R24" t="s">
        <v>31</v>
      </c>
      <c r="S24" t="s">
        <v>31</v>
      </c>
      <c r="T24">
        <v>117</v>
      </c>
      <c r="U24">
        <v>300</v>
      </c>
      <c r="V24" t="s">
        <v>52</v>
      </c>
      <c r="W24" t="s">
        <v>38</v>
      </c>
      <c r="X24" t="s">
        <v>39</v>
      </c>
      <c r="Y24">
        <v>0</v>
      </c>
      <c r="Z24" t="s">
        <v>40</v>
      </c>
      <c r="AA24">
        <v>10</v>
      </c>
    </row>
    <row r="25" spans="1:27" x14ac:dyDescent="0.25">
      <c r="A25">
        <v>23</v>
      </c>
      <c r="B25" t="s">
        <v>27</v>
      </c>
      <c r="C25">
        <v>877</v>
      </c>
      <c r="D25" t="s">
        <v>53</v>
      </c>
      <c r="E25">
        <v>5118230320010100</v>
      </c>
      <c r="F25">
        <v>5118230320010100</v>
      </c>
      <c r="G25" t="s">
        <v>106</v>
      </c>
      <c r="H25" t="s">
        <v>107</v>
      </c>
      <c r="I25" t="s">
        <v>31</v>
      </c>
      <c r="J25" t="s">
        <v>30</v>
      </c>
      <c r="K25" t="s">
        <v>64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>
        <v>128</v>
      </c>
      <c r="U25">
        <v>183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>
        <v>0</v>
      </c>
    </row>
    <row r="26" spans="1:27" x14ac:dyDescent="0.25">
      <c r="A26">
        <v>24</v>
      </c>
      <c r="B26" t="s">
        <v>27</v>
      </c>
      <c r="C26">
        <v>566</v>
      </c>
      <c r="D26" t="s">
        <v>53</v>
      </c>
      <c r="E26">
        <v>5118230000126000</v>
      </c>
      <c r="F26">
        <v>5118230000126000</v>
      </c>
      <c r="G26" t="s">
        <v>108</v>
      </c>
      <c r="H26">
        <v>126</v>
      </c>
      <c r="I26">
        <v>6253380126</v>
      </c>
      <c r="J26" t="s">
        <v>30</v>
      </c>
      <c r="K26" t="s">
        <v>109</v>
      </c>
      <c r="L26" t="s">
        <v>31</v>
      </c>
      <c r="M26" t="s">
        <v>31</v>
      </c>
      <c r="N26">
        <v>0</v>
      </c>
      <c r="O26" t="s">
        <v>110</v>
      </c>
      <c r="P26" t="s">
        <v>111</v>
      </c>
      <c r="Q26" t="s">
        <v>47</v>
      </c>
      <c r="R26" t="s">
        <v>61</v>
      </c>
      <c r="S26" t="s">
        <v>61</v>
      </c>
      <c r="T26">
        <v>38</v>
      </c>
      <c r="U26">
        <v>40</v>
      </c>
      <c r="V26" t="s">
        <v>37</v>
      </c>
      <c r="W26" t="s">
        <v>52</v>
      </c>
      <c r="X26" t="s">
        <v>85</v>
      </c>
      <c r="Y26">
        <v>0</v>
      </c>
      <c r="Z26" t="s">
        <v>40</v>
      </c>
      <c r="AA26">
        <v>130</v>
      </c>
    </row>
    <row r="27" spans="1:27" x14ac:dyDescent="0.25">
      <c r="A27">
        <v>26</v>
      </c>
      <c r="B27" t="s">
        <v>27</v>
      </c>
      <c r="C27">
        <v>534</v>
      </c>
      <c r="D27" t="s">
        <v>53</v>
      </c>
      <c r="E27">
        <v>5118230000093000</v>
      </c>
      <c r="F27">
        <v>5118230000093000</v>
      </c>
      <c r="G27" t="s">
        <v>113</v>
      </c>
      <c r="H27">
        <v>93</v>
      </c>
      <c r="I27">
        <v>6253110093</v>
      </c>
      <c r="J27" t="s">
        <v>30</v>
      </c>
      <c r="K27" t="s">
        <v>114</v>
      </c>
      <c r="L27" t="s">
        <v>31</v>
      </c>
      <c r="M27" t="s">
        <v>31</v>
      </c>
      <c r="N27">
        <v>0</v>
      </c>
      <c r="O27" t="s">
        <v>31</v>
      </c>
      <c r="P27" t="s">
        <v>60</v>
      </c>
      <c r="Q27" t="s">
        <v>47</v>
      </c>
      <c r="R27" t="s">
        <v>31</v>
      </c>
      <c r="S27" t="s">
        <v>31</v>
      </c>
      <c r="T27">
        <v>59</v>
      </c>
      <c r="U27">
        <v>44.9</v>
      </c>
      <c r="V27" t="s">
        <v>37</v>
      </c>
      <c r="W27" t="s">
        <v>52</v>
      </c>
      <c r="X27" t="s">
        <v>115</v>
      </c>
      <c r="Y27">
        <v>0</v>
      </c>
      <c r="Z27" t="s">
        <v>40</v>
      </c>
      <c r="AA27">
        <v>45</v>
      </c>
    </row>
    <row r="28" spans="1:27" x14ac:dyDescent="0.25">
      <c r="A28">
        <v>27</v>
      </c>
      <c r="B28" t="s">
        <v>27</v>
      </c>
      <c r="C28">
        <v>540</v>
      </c>
      <c r="D28" t="s">
        <v>53</v>
      </c>
      <c r="E28">
        <v>5118230000099000</v>
      </c>
      <c r="F28">
        <v>5118230000099000</v>
      </c>
      <c r="G28" t="s">
        <v>116</v>
      </c>
      <c r="H28">
        <v>99</v>
      </c>
      <c r="I28">
        <v>6253130099</v>
      </c>
      <c r="J28" t="s">
        <v>30</v>
      </c>
      <c r="K28" t="s">
        <v>117</v>
      </c>
      <c r="L28" t="s">
        <v>31</v>
      </c>
      <c r="M28" t="s">
        <v>31</v>
      </c>
      <c r="N28">
        <v>0</v>
      </c>
      <c r="O28" t="s">
        <v>67</v>
      </c>
      <c r="P28" t="s">
        <v>118</v>
      </c>
      <c r="Q28" t="s">
        <v>47</v>
      </c>
      <c r="R28" t="s">
        <v>61</v>
      </c>
      <c r="S28" t="s">
        <v>61</v>
      </c>
      <c r="T28">
        <v>18</v>
      </c>
      <c r="U28">
        <v>40</v>
      </c>
      <c r="V28" t="s">
        <v>37</v>
      </c>
      <c r="W28" t="s">
        <v>52</v>
      </c>
      <c r="X28" t="s">
        <v>99</v>
      </c>
      <c r="Y28">
        <v>0</v>
      </c>
      <c r="Z28" t="s">
        <v>40</v>
      </c>
      <c r="AA28">
        <v>0</v>
      </c>
    </row>
    <row r="29" spans="1:27" x14ac:dyDescent="0.25">
      <c r="A29">
        <v>28</v>
      </c>
      <c r="B29" t="s">
        <v>27</v>
      </c>
      <c r="C29">
        <v>904</v>
      </c>
      <c r="D29" t="s">
        <v>53</v>
      </c>
      <c r="E29">
        <v>5118230360020100</v>
      </c>
      <c r="F29">
        <v>5118230360020100</v>
      </c>
      <c r="G29" t="s">
        <v>113</v>
      </c>
      <c r="H29" t="s">
        <v>119</v>
      </c>
      <c r="I29" t="s">
        <v>31</v>
      </c>
      <c r="J29" t="s">
        <v>30</v>
      </c>
      <c r="K29" t="s">
        <v>120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>
        <v>50</v>
      </c>
      <c r="U29">
        <v>86</v>
      </c>
      <c r="V29" t="s">
        <v>31</v>
      </c>
      <c r="W29" t="s">
        <v>31</v>
      </c>
      <c r="X29" t="s">
        <v>31</v>
      </c>
      <c r="Y29" t="s">
        <v>31</v>
      </c>
      <c r="Z29" t="s">
        <v>31</v>
      </c>
      <c r="AA29">
        <v>0</v>
      </c>
    </row>
    <row r="30" spans="1:27" x14ac:dyDescent="0.25">
      <c r="A30">
        <v>29</v>
      </c>
      <c r="B30" t="s">
        <v>27</v>
      </c>
      <c r="C30">
        <v>897</v>
      </c>
      <c r="D30" t="s">
        <v>53</v>
      </c>
      <c r="E30">
        <v>5118230350030100</v>
      </c>
      <c r="F30">
        <v>5118230350030100</v>
      </c>
      <c r="G30" t="s">
        <v>121</v>
      </c>
      <c r="H30" t="s">
        <v>122</v>
      </c>
      <c r="I30" t="s">
        <v>31</v>
      </c>
      <c r="J30" t="s">
        <v>30</v>
      </c>
      <c r="K30" t="s">
        <v>123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>
        <v>3</v>
      </c>
      <c r="U30">
        <v>14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>
        <v>0</v>
      </c>
    </row>
    <row r="31" spans="1:27" x14ac:dyDescent="0.25">
      <c r="A31">
        <v>30</v>
      </c>
      <c r="B31" t="s">
        <v>27</v>
      </c>
      <c r="C31">
        <v>945</v>
      </c>
      <c r="D31" t="s">
        <v>53</v>
      </c>
      <c r="E31">
        <v>5118232250030100</v>
      </c>
      <c r="F31">
        <v>5118232250030100</v>
      </c>
      <c r="G31" t="s">
        <v>121</v>
      </c>
      <c r="H31" t="s">
        <v>122</v>
      </c>
      <c r="I31" t="s">
        <v>31</v>
      </c>
      <c r="J31" t="s">
        <v>30</v>
      </c>
      <c r="K31" t="s">
        <v>123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>
        <v>3</v>
      </c>
      <c r="U31">
        <v>14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>
        <v>0</v>
      </c>
    </row>
    <row r="32" spans="1:27" x14ac:dyDescent="0.25">
      <c r="A32">
        <v>31</v>
      </c>
      <c r="B32" t="s">
        <v>27</v>
      </c>
      <c r="C32">
        <v>552</v>
      </c>
      <c r="D32" t="s">
        <v>53</v>
      </c>
      <c r="E32">
        <v>5118230000112000</v>
      </c>
      <c r="F32">
        <v>5118230000112000</v>
      </c>
      <c r="G32" t="s">
        <v>124</v>
      </c>
      <c r="H32">
        <v>112</v>
      </c>
      <c r="I32">
        <v>6253140112</v>
      </c>
      <c r="J32" t="s">
        <v>30</v>
      </c>
      <c r="K32" t="s">
        <v>125</v>
      </c>
      <c r="L32" t="s">
        <v>31</v>
      </c>
      <c r="M32" t="s">
        <v>31</v>
      </c>
      <c r="N32">
        <v>0</v>
      </c>
      <c r="O32" t="s">
        <v>126</v>
      </c>
      <c r="P32" t="s">
        <v>60</v>
      </c>
      <c r="Q32" t="s">
        <v>47</v>
      </c>
      <c r="R32" t="s">
        <v>61</v>
      </c>
      <c r="S32" t="s">
        <v>61</v>
      </c>
      <c r="T32">
        <v>3</v>
      </c>
      <c r="U32">
        <v>10</v>
      </c>
      <c r="V32" t="s">
        <v>31</v>
      </c>
      <c r="W32" t="s">
        <v>37</v>
      </c>
      <c r="X32" t="s">
        <v>99</v>
      </c>
      <c r="Y32">
        <v>0</v>
      </c>
      <c r="Z32" t="s">
        <v>40</v>
      </c>
      <c r="AA32">
        <v>0</v>
      </c>
    </row>
    <row r="33" spans="1:27" x14ac:dyDescent="0.25">
      <c r="A33">
        <v>32</v>
      </c>
      <c r="B33" t="s">
        <v>27</v>
      </c>
      <c r="C33">
        <v>895</v>
      </c>
      <c r="D33" t="s">
        <v>53</v>
      </c>
      <c r="E33">
        <v>5118230350010100</v>
      </c>
      <c r="F33">
        <v>5118230350010100</v>
      </c>
      <c r="G33" t="s">
        <v>127</v>
      </c>
      <c r="H33" t="s">
        <v>128</v>
      </c>
      <c r="I33" t="s">
        <v>31</v>
      </c>
      <c r="J33" t="s">
        <v>30</v>
      </c>
      <c r="K33" t="s">
        <v>129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>
        <v>10</v>
      </c>
      <c r="U33">
        <v>17</v>
      </c>
      <c r="V33" t="s">
        <v>31</v>
      </c>
      <c r="W33" t="s">
        <v>31</v>
      </c>
      <c r="X33" t="s">
        <v>31</v>
      </c>
      <c r="Y33" t="s">
        <v>31</v>
      </c>
      <c r="Z33" t="s">
        <v>31</v>
      </c>
      <c r="AA33">
        <v>0</v>
      </c>
    </row>
    <row r="34" spans="1:27" x14ac:dyDescent="0.25">
      <c r="A34">
        <v>33</v>
      </c>
      <c r="B34" t="s">
        <v>27</v>
      </c>
      <c r="C34">
        <v>882</v>
      </c>
      <c r="D34" t="s">
        <v>53</v>
      </c>
      <c r="E34">
        <v>5118230330010100</v>
      </c>
      <c r="F34">
        <v>5118230330010100</v>
      </c>
      <c r="G34" t="s">
        <v>130</v>
      </c>
      <c r="H34" t="s">
        <v>131</v>
      </c>
      <c r="I34" t="s">
        <v>31</v>
      </c>
      <c r="J34" t="s">
        <v>30</v>
      </c>
      <c r="K34" t="s">
        <v>132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>
        <v>20</v>
      </c>
      <c r="U34">
        <v>96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>
        <v>0</v>
      </c>
    </row>
    <row r="35" spans="1:27" x14ac:dyDescent="0.25">
      <c r="A35">
        <v>34</v>
      </c>
      <c r="B35" t="s">
        <v>27</v>
      </c>
      <c r="C35">
        <v>539</v>
      </c>
      <c r="D35" t="s">
        <v>53</v>
      </c>
      <c r="E35">
        <v>5118230000098000</v>
      </c>
      <c r="F35">
        <v>5118230000098000</v>
      </c>
      <c r="G35" t="s">
        <v>133</v>
      </c>
      <c r="H35">
        <v>98</v>
      </c>
      <c r="I35">
        <v>6253130097</v>
      </c>
      <c r="J35" t="s">
        <v>30</v>
      </c>
      <c r="K35" t="s">
        <v>134</v>
      </c>
      <c r="L35" t="s">
        <v>31</v>
      </c>
      <c r="M35" t="s">
        <v>31</v>
      </c>
      <c r="N35">
        <v>0</v>
      </c>
      <c r="O35" t="s">
        <v>135</v>
      </c>
      <c r="P35" t="s">
        <v>136</v>
      </c>
      <c r="Q35" t="s">
        <v>47</v>
      </c>
      <c r="R35" t="s">
        <v>61</v>
      </c>
      <c r="S35" t="s">
        <v>61</v>
      </c>
      <c r="T35">
        <v>9</v>
      </c>
      <c r="U35">
        <v>30</v>
      </c>
      <c r="V35" t="s">
        <v>31</v>
      </c>
      <c r="W35" t="s">
        <v>37</v>
      </c>
      <c r="X35" t="s">
        <v>115</v>
      </c>
      <c r="Y35">
        <v>0</v>
      </c>
      <c r="Z35" t="s">
        <v>40</v>
      </c>
      <c r="AA35">
        <v>0</v>
      </c>
    </row>
    <row r="36" spans="1:27" x14ac:dyDescent="0.25">
      <c r="A36">
        <v>35</v>
      </c>
      <c r="B36" t="s">
        <v>27</v>
      </c>
      <c r="C36">
        <v>898</v>
      </c>
      <c r="D36" t="s">
        <v>53</v>
      </c>
      <c r="E36">
        <v>5118230350040100</v>
      </c>
      <c r="F36">
        <v>5118230350040100</v>
      </c>
      <c r="G36" t="s">
        <v>137</v>
      </c>
      <c r="H36" t="s">
        <v>138</v>
      </c>
      <c r="I36" t="s">
        <v>31</v>
      </c>
      <c r="J36" t="s">
        <v>30</v>
      </c>
      <c r="K36" t="s">
        <v>139</v>
      </c>
      <c r="L36" t="s">
        <v>31</v>
      </c>
      <c r="M36" t="s">
        <v>31</v>
      </c>
      <c r="N36" t="s">
        <v>31</v>
      </c>
      <c r="O36" t="s">
        <v>31</v>
      </c>
      <c r="P36" t="s">
        <v>31</v>
      </c>
      <c r="Q36" t="s">
        <v>31</v>
      </c>
      <c r="R36" t="s">
        <v>31</v>
      </c>
      <c r="S36" t="s">
        <v>31</v>
      </c>
      <c r="T36">
        <v>200</v>
      </c>
      <c r="U36">
        <v>249</v>
      </c>
      <c r="V36" t="s">
        <v>31</v>
      </c>
      <c r="W36" t="s">
        <v>31</v>
      </c>
      <c r="X36" t="s">
        <v>31</v>
      </c>
      <c r="Y36" t="s">
        <v>31</v>
      </c>
      <c r="Z36" t="s">
        <v>31</v>
      </c>
      <c r="AA36">
        <v>0</v>
      </c>
    </row>
    <row r="37" spans="1:27" x14ac:dyDescent="0.25">
      <c r="A37">
        <v>36</v>
      </c>
      <c r="B37" t="s">
        <v>27</v>
      </c>
      <c r="C37">
        <v>740</v>
      </c>
      <c r="D37" t="s">
        <v>53</v>
      </c>
      <c r="E37">
        <v>5118230090000100</v>
      </c>
      <c r="F37">
        <v>5118230090000100</v>
      </c>
      <c r="G37" t="s">
        <v>140</v>
      </c>
      <c r="H37" t="s">
        <v>141</v>
      </c>
      <c r="I37" t="s">
        <v>31</v>
      </c>
      <c r="J37" t="s">
        <v>30</v>
      </c>
      <c r="K37" t="s">
        <v>142</v>
      </c>
      <c r="L37" t="s">
        <v>31</v>
      </c>
      <c r="M37" t="s">
        <v>31</v>
      </c>
      <c r="N37" t="s">
        <v>31</v>
      </c>
      <c r="O37" t="s">
        <v>31</v>
      </c>
      <c r="P37" t="s">
        <v>31</v>
      </c>
      <c r="Q37" t="s">
        <v>31</v>
      </c>
      <c r="R37" t="s">
        <v>31</v>
      </c>
      <c r="S37" t="s">
        <v>31</v>
      </c>
      <c r="T37">
        <v>43</v>
      </c>
      <c r="U37">
        <v>229</v>
      </c>
      <c r="V37" t="s">
        <v>31</v>
      </c>
      <c r="W37" t="s">
        <v>31</v>
      </c>
      <c r="X37" t="s">
        <v>31</v>
      </c>
      <c r="Y37" t="s">
        <v>31</v>
      </c>
      <c r="Z37" t="s">
        <v>31</v>
      </c>
      <c r="AA37">
        <v>0</v>
      </c>
    </row>
    <row r="38" spans="1:27" x14ac:dyDescent="0.25">
      <c r="A38">
        <v>37</v>
      </c>
      <c r="B38" t="s">
        <v>27</v>
      </c>
      <c r="C38">
        <v>531</v>
      </c>
      <c r="D38" t="s">
        <v>53</v>
      </c>
      <c r="E38">
        <v>5118230000090000</v>
      </c>
      <c r="F38">
        <v>5118230000090000</v>
      </c>
      <c r="G38" t="s">
        <v>143</v>
      </c>
      <c r="H38">
        <v>90</v>
      </c>
      <c r="I38">
        <v>6253100090</v>
      </c>
      <c r="J38" t="s">
        <v>30</v>
      </c>
      <c r="K38" t="s">
        <v>144</v>
      </c>
      <c r="L38" t="s">
        <v>31</v>
      </c>
      <c r="M38" t="s">
        <v>31</v>
      </c>
      <c r="N38">
        <v>0</v>
      </c>
      <c r="O38" t="s">
        <v>67</v>
      </c>
      <c r="P38" t="s">
        <v>60</v>
      </c>
      <c r="Q38" t="s">
        <v>47</v>
      </c>
      <c r="R38" t="s">
        <v>61</v>
      </c>
      <c r="S38" t="s">
        <v>61</v>
      </c>
      <c r="T38">
        <v>9</v>
      </c>
      <c r="U38">
        <v>20</v>
      </c>
      <c r="V38" t="s">
        <v>37</v>
      </c>
      <c r="W38" t="s">
        <v>37</v>
      </c>
      <c r="X38" t="s">
        <v>115</v>
      </c>
      <c r="Y38">
        <v>0</v>
      </c>
      <c r="Z38" t="s">
        <v>40</v>
      </c>
      <c r="AA38">
        <v>7</v>
      </c>
    </row>
    <row r="39" spans="1:27" x14ac:dyDescent="0.25">
      <c r="A39">
        <v>38</v>
      </c>
      <c r="B39" t="s">
        <v>27</v>
      </c>
      <c r="C39">
        <v>896</v>
      </c>
      <c r="D39" t="s">
        <v>53</v>
      </c>
      <c r="E39">
        <v>5118230350020100</v>
      </c>
      <c r="F39">
        <v>5118230350020100</v>
      </c>
      <c r="G39" t="s">
        <v>145</v>
      </c>
      <c r="H39" t="s">
        <v>146</v>
      </c>
      <c r="I39" t="s">
        <v>31</v>
      </c>
      <c r="J39" t="s">
        <v>30</v>
      </c>
      <c r="K39" t="s">
        <v>129</v>
      </c>
      <c r="L39" t="s">
        <v>31</v>
      </c>
      <c r="M39" t="s">
        <v>31</v>
      </c>
      <c r="N39" t="s">
        <v>31</v>
      </c>
      <c r="O39" t="s">
        <v>31</v>
      </c>
      <c r="P39" t="s">
        <v>31</v>
      </c>
      <c r="Q39" t="s">
        <v>31</v>
      </c>
      <c r="R39" t="s">
        <v>31</v>
      </c>
      <c r="S39" t="s">
        <v>31</v>
      </c>
      <c r="T39">
        <v>12</v>
      </c>
      <c r="U39">
        <v>50</v>
      </c>
      <c r="V39" t="s">
        <v>31</v>
      </c>
      <c r="W39" t="s">
        <v>31</v>
      </c>
      <c r="X39" t="s">
        <v>31</v>
      </c>
      <c r="Y39" t="s">
        <v>31</v>
      </c>
      <c r="Z39" t="s">
        <v>31</v>
      </c>
      <c r="AA39">
        <v>0</v>
      </c>
    </row>
    <row r="40" spans="1:27" x14ac:dyDescent="0.25">
      <c r="A40">
        <v>39</v>
      </c>
      <c r="B40" t="s">
        <v>27</v>
      </c>
      <c r="C40">
        <v>574</v>
      </c>
      <c r="D40" t="s">
        <v>53</v>
      </c>
      <c r="E40">
        <v>5118230000134000</v>
      </c>
      <c r="F40">
        <v>5118230000134000</v>
      </c>
      <c r="G40" t="s">
        <v>147</v>
      </c>
      <c r="H40">
        <v>134</v>
      </c>
      <c r="I40">
        <v>6253390134</v>
      </c>
      <c r="J40" t="s">
        <v>30</v>
      </c>
      <c r="K40" t="s">
        <v>148</v>
      </c>
      <c r="L40" t="s">
        <v>31</v>
      </c>
      <c r="M40" t="s">
        <v>31</v>
      </c>
      <c r="N40">
        <v>0</v>
      </c>
      <c r="O40" t="s">
        <v>59</v>
      </c>
      <c r="P40" t="s">
        <v>94</v>
      </c>
      <c r="Q40" t="s">
        <v>47</v>
      </c>
      <c r="R40" t="s">
        <v>61</v>
      </c>
      <c r="S40" t="s">
        <v>61</v>
      </c>
      <c r="T40">
        <v>50</v>
      </c>
      <c r="U40">
        <v>12</v>
      </c>
      <c r="V40" t="s">
        <v>31</v>
      </c>
      <c r="W40" t="s">
        <v>52</v>
      </c>
      <c r="X40" t="s">
        <v>39</v>
      </c>
      <c r="Y40">
        <v>0</v>
      </c>
      <c r="Z40" t="s">
        <v>40</v>
      </c>
      <c r="AA40">
        <v>0</v>
      </c>
    </row>
    <row r="41" spans="1:27" x14ac:dyDescent="0.25">
      <c r="A41">
        <v>40</v>
      </c>
      <c r="B41" t="s">
        <v>27</v>
      </c>
      <c r="C41">
        <v>536</v>
      </c>
      <c r="D41" t="s">
        <v>53</v>
      </c>
      <c r="E41">
        <v>5118230000095000</v>
      </c>
      <c r="F41">
        <v>5118230000095000</v>
      </c>
      <c r="G41" t="s">
        <v>149</v>
      </c>
      <c r="H41">
        <v>95</v>
      </c>
      <c r="I41">
        <v>6253110095</v>
      </c>
      <c r="J41" t="s">
        <v>30</v>
      </c>
      <c r="K41" t="s">
        <v>150</v>
      </c>
      <c r="L41" t="s">
        <v>31</v>
      </c>
      <c r="M41" t="s">
        <v>31</v>
      </c>
      <c r="N41">
        <v>0</v>
      </c>
      <c r="O41" t="s">
        <v>126</v>
      </c>
      <c r="P41" t="s">
        <v>151</v>
      </c>
      <c r="Q41" t="s">
        <v>47</v>
      </c>
      <c r="R41" t="s">
        <v>61</v>
      </c>
      <c r="S41" t="s">
        <v>61</v>
      </c>
      <c r="T41">
        <v>55</v>
      </c>
      <c r="U41">
        <v>1</v>
      </c>
      <c r="V41" t="s">
        <v>31</v>
      </c>
      <c r="W41" t="s">
        <v>52</v>
      </c>
      <c r="X41" t="s">
        <v>99</v>
      </c>
      <c r="Y41">
        <v>0</v>
      </c>
      <c r="Z41" t="s">
        <v>40</v>
      </c>
      <c r="AA41">
        <v>0</v>
      </c>
    </row>
    <row r="42" spans="1:27" x14ac:dyDescent="0.25">
      <c r="A42">
        <v>41</v>
      </c>
      <c r="B42" t="s">
        <v>27</v>
      </c>
      <c r="C42">
        <v>563</v>
      </c>
      <c r="D42" t="s">
        <v>53</v>
      </c>
      <c r="E42">
        <v>5118230000123000</v>
      </c>
      <c r="F42">
        <v>5118230000123000</v>
      </c>
      <c r="G42" t="s">
        <v>152</v>
      </c>
      <c r="H42">
        <v>123</v>
      </c>
      <c r="I42">
        <v>6253380123</v>
      </c>
      <c r="J42" t="s">
        <v>30</v>
      </c>
      <c r="K42" t="s">
        <v>153</v>
      </c>
      <c r="L42" t="s">
        <v>31</v>
      </c>
      <c r="M42" t="s">
        <v>31</v>
      </c>
      <c r="N42">
        <v>0</v>
      </c>
      <c r="O42" t="s">
        <v>110</v>
      </c>
      <c r="P42" t="s">
        <v>105</v>
      </c>
      <c r="Q42" t="s">
        <v>47</v>
      </c>
      <c r="R42" t="s">
        <v>61</v>
      </c>
      <c r="S42" t="s">
        <v>61</v>
      </c>
      <c r="T42">
        <v>23</v>
      </c>
      <c r="U42">
        <v>30</v>
      </c>
      <c r="V42" t="s">
        <v>31</v>
      </c>
      <c r="W42" t="s">
        <v>52</v>
      </c>
      <c r="X42" t="s">
        <v>39</v>
      </c>
      <c r="Y42">
        <v>0</v>
      </c>
      <c r="Z42" t="s">
        <v>40</v>
      </c>
      <c r="AA42">
        <v>0</v>
      </c>
    </row>
    <row r="43" spans="1:27" x14ac:dyDescent="0.25">
      <c r="A43">
        <v>42</v>
      </c>
      <c r="B43" t="s">
        <v>27</v>
      </c>
      <c r="C43">
        <v>538</v>
      </c>
      <c r="D43" t="s">
        <v>53</v>
      </c>
      <c r="E43">
        <v>5118230000097000</v>
      </c>
      <c r="F43">
        <v>5118230000097000</v>
      </c>
      <c r="G43" t="s">
        <v>154</v>
      </c>
      <c r="H43">
        <v>97</v>
      </c>
      <c r="I43">
        <v>6253130098</v>
      </c>
      <c r="J43" t="s">
        <v>30</v>
      </c>
      <c r="K43" t="s">
        <v>134</v>
      </c>
      <c r="L43" t="s">
        <v>31</v>
      </c>
      <c r="M43" t="s">
        <v>31</v>
      </c>
      <c r="N43">
        <v>0</v>
      </c>
      <c r="O43" t="s">
        <v>67</v>
      </c>
      <c r="P43" t="s">
        <v>155</v>
      </c>
      <c r="Q43" t="s">
        <v>47</v>
      </c>
      <c r="R43" t="s">
        <v>61</v>
      </c>
      <c r="S43" t="s">
        <v>61</v>
      </c>
      <c r="T43">
        <v>12</v>
      </c>
      <c r="U43">
        <v>40</v>
      </c>
      <c r="V43" t="s">
        <v>37</v>
      </c>
      <c r="W43" t="s">
        <v>52</v>
      </c>
      <c r="X43" t="s">
        <v>39</v>
      </c>
      <c r="Y43">
        <v>0</v>
      </c>
      <c r="Z43" t="s">
        <v>40</v>
      </c>
      <c r="AA43">
        <v>0</v>
      </c>
    </row>
    <row r="44" spans="1:27" x14ac:dyDescent="0.25">
      <c r="A44">
        <v>43</v>
      </c>
      <c r="B44" t="s">
        <v>27</v>
      </c>
      <c r="C44">
        <v>903</v>
      </c>
      <c r="D44" t="s">
        <v>53</v>
      </c>
      <c r="E44">
        <v>5118230360010100</v>
      </c>
      <c r="F44">
        <v>5118230360010100</v>
      </c>
      <c r="G44" t="s">
        <v>156</v>
      </c>
      <c r="H44" t="s">
        <v>157</v>
      </c>
      <c r="I44" t="s">
        <v>31</v>
      </c>
      <c r="J44" t="s">
        <v>30</v>
      </c>
      <c r="K44" t="s">
        <v>158</v>
      </c>
      <c r="L44" t="s">
        <v>31</v>
      </c>
      <c r="M44" t="s">
        <v>31</v>
      </c>
      <c r="N44" t="s">
        <v>31</v>
      </c>
      <c r="O44" t="s">
        <v>31</v>
      </c>
      <c r="P44" t="s">
        <v>31</v>
      </c>
      <c r="Q44" t="s">
        <v>31</v>
      </c>
      <c r="R44" t="s">
        <v>31</v>
      </c>
      <c r="S44" t="s">
        <v>31</v>
      </c>
      <c r="T44">
        <v>55</v>
      </c>
      <c r="U44">
        <v>73</v>
      </c>
      <c r="V44" t="s">
        <v>31</v>
      </c>
      <c r="W44" t="s">
        <v>31</v>
      </c>
      <c r="X44" t="s">
        <v>31</v>
      </c>
      <c r="Y44" t="s">
        <v>31</v>
      </c>
      <c r="Z44" t="s">
        <v>31</v>
      </c>
      <c r="AA44">
        <v>0</v>
      </c>
    </row>
    <row r="45" spans="1:27" x14ac:dyDescent="0.25">
      <c r="A45">
        <v>44</v>
      </c>
      <c r="B45" t="s">
        <v>27</v>
      </c>
      <c r="C45">
        <v>537</v>
      </c>
      <c r="D45" t="s">
        <v>53</v>
      </c>
      <c r="E45">
        <v>5118230000096000</v>
      </c>
      <c r="F45">
        <v>5118230000096000</v>
      </c>
      <c r="G45" t="s">
        <v>145</v>
      </c>
      <c r="H45">
        <v>96</v>
      </c>
      <c r="I45">
        <v>6253130096</v>
      </c>
      <c r="J45" t="s">
        <v>30</v>
      </c>
      <c r="K45" t="s">
        <v>159</v>
      </c>
      <c r="L45" t="s">
        <v>31</v>
      </c>
      <c r="M45" t="s">
        <v>31</v>
      </c>
      <c r="N45">
        <v>0</v>
      </c>
      <c r="O45" t="s">
        <v>67</v>
      </c>
      <c r="P45" t="s">
        <v>155</v>
      </c>
      <c r="Q45" t="s">
        <v>47</v>
      </c>
      <c r="R45" t="s">
        <v>61</v>
      </c>
      <c r="S45" t="s">
        <v>61</v>
      </c>
      <c r="T45">
        <v>13</v>
      </c>
      <c r="U45">
        <v>33.200000000000003</v>
      </c>
      <c r="V45" t="s">
        <v>31</v>
      </c>
      <c r="W45" t="s">
        <v>52</v>
      </c>
      <c r="X45" t="s">
        <v>160</v>
      </c>
      <c r="Y45">
        <v>0</v>
      </c>
      <c r="Z45" t="s">
        <v>40</v>
      </c>
      <c r="AA45">
        <v>0</v>
      </c>
    </row>
    <row r="46" spans="1:27" x14ac:dyDescent="0.25">
      <c r="A46">
        <v>45</v>
      </c>
      <c r="B46" t="s">
        <v>27</v>
      </c>
      <c r="C46">
        <v>573</v>
      </c>
      <c r="D46" t="s">
        <v>53</v>
      </c>
      <c r="E46">
        <v>5118230000133000</v>
      </c>
      <c r="F46">
        <v>5118230000133000</v>
      </c>
      <c r="G46" t="s">
        <v>161</v>
      </c>
      <c r="H46">
        <v>133</v>
      </c>
      <c r="I46">
        <v>6253380133</v>
      </c>
      <c r="J46" t="s">
        <v>30</v>
      </c>
      <c r="K46" t="s">
        <v>162</v>
      </c>
      <c r="L46" t="s">
        <v>31</v>
      </c>
      <c r="M46" t="s">
        <v>31</v>
      </c>
      <c r="N46">
        <v>0</v>
      </c>
      <c r="O46" t="s">
        <v>59</v>
      </c>
      <c r="P46" t="s">
        <v>163</v>
      </c>
      <c r="Q46" t="s">
        <v>47</v>
      </c>
      <c r="R46" t="s">
        <v>61</v>
      </c>
      <c r="S46" t="s">
        <v>31</v>
      </c>
      <c r="T46">
        <v>82</v>
      </c>
      <c r="U46">
        <v>110</v>
      </c>
      <c r="V46" t="s">
        <v>37</v>
      </c>
      <c r="W46" t="s">
        <v>52</v>
      </c>
      <c r="X46" t="s">
        <v>85</v>
      </c>
      <c r="Y46">
        <v>0</v>
      </c>
      <c r="Z46" t="s">
        <v>40</v>
      </c>
      <c r="AA46">
        <v>50</v>
      </c>
    </row>
    <row r="47" spans="1:27" x14ac:dyDescent="0.25">
      <c r="A47">
        <v>46</v>
      </c>
      <c r="B47" t="s">
        <v>27</v>
      </c>
      <c r="C47">
        <v>520</v>
      </c>
      <c r="D47" t="s">
        <v>53</v>
      </c>
      <c r="E47">
        <v>5118230000079000</v>
      </c>
      <c r="F47">
        <v>5118230000079000</v>
      </c>
      <c r="G47" t="s">
        <v>164</v>
      </c>
      <c r="H47">
        <v>79</v>
      </c>
      <c r="I47">
        <v>6253100079</v>
      </c>
      <c r="J47" t="s">
        <v>30</v>
      </c>
      <c r="K47" t="s">
        <v>165</v>
      </c>
      <c r="L47" t="s">
        <v>31</v>
      </c>
      <c r="M47" t="s">
        <v>31</v>
      </c>
      <c r="N47">
        <v>0</v>
      </c>
      <c r="O47" t="s">
        <v>135</v>
      </c>
      <c r="P47" t="s">
        <v>155</v>
      </c>
      <c r="Q47" t="s">
        <v>47</v>
      </c>
      <c r="R47" t="s">
        <v>61</v>
      </c>
      <c r="S47" t="s">
        <v>61</v>
      </c>
      <c r="T47">
        <v>68</v>
      </c>
      <c r="U47">
        <v>100</v>
      </c>
      <c r="V47" t="s">
        <v>52</v>
      </c>
      <c r="W47" t="s">
        <v>52</v>
      </c>
      <c r="X47" t="s">
        <v>85</v>
      </c>
      <c r="Y47">
        <v>0</v>
      </c>
      <c r="Z47" t="s">
        <v>166</v>
      </c>
      <c r="AA47">
        <v>0</v>
      </c>
    </row>
    <row r="48" spans="1:27" x14ac:dyDescent="0.25">
      <c r="A48">
        <v>47</v>
      </c>
      <c r="B48" t="s">
        <v>27</v>
      </c>
      <c r="C48">
        <v>562</v>
      </c>
      <c r="D48" t="s">
        <v>28</v>
      </c>
      <c r="E48">
        <v>5118230000122000</v>
      </c>
      <c r="F48">
        <v>5118230000122000</v>
      </c>
      <c r="G48" t="s">
        <v>167</v>
      </c>
      <c r="H48">
        <v>122</v>
      </c>
      <c r="I48">
        <v>6253380122</v>
      </c>
      <c r="J48" t="s">
        <v>30</v>
      </c>
      <c r="K48" t="s">
        <v>168</v>
      </c>
      <c r="L48" t="s">
        <v>31</v>
      </c>
      <c r="M48" t="s">
        <v>31</v>
      </c>
      <c r="N48">
        <v>0</v>
      </c>
      <c r="O48" t="s">
        <v>59</v>
      </c>
      <c r="P48" t="s">
        <v>34</v>
      </c>
      <c r="Q48" t="s">
        <v>47</v>
      </c>
      <c r="R48" t="s">
        <v>36</v>
      </c>
      <c r="S48" t="s">
        <v>36</v>
      </c>
      <c r="T48">
        <v>10</v>
      </c>
      <c r="U48">
        <v>1</v>
      </c>
      <c r="V48" t="s">
        <v>52</v>
      </c>
      <c r="W48" t="s">
        <v>52</v>
      </c>
      <c r="X48" t="s">
        <v>39</v>
      </c>
      <c r="Y48">
        <v>0</v>
      </c>
      <c r="Z48" t="s">
        <v>40</v>
      </c>
      <c r="AA48">
        <v>0</v>
      </c>
    </row>
    <row r="49" spans="1:27" x14ac:dyDescent="0.25">
      <c r="A49">
        <v>48</v>
      </c>
      <c r="B49" t="s">
        <v>27</v>
      </c>
      <c r="C49">
        <v>883</v>
      </c>
      <c r="D49" t="s">
        <v>53</v>
      </c>
      <c r="E49">
        <v>5118230330020100</v>
      </c>
      <c r="F49">
        <v>5118230330020100</v>
      </c>
      <c r="G49" t="s">
        <v>169</v>
      </c>
      <c r="H49" t="s">
        <v>170</v>
      </c>
      <c r="I49" t="s">
        <v>31</v>
      </c>
      <c r="J49" t="s">
        <v>30</v>
      </c>
      <c r="K49" t="s">
        <v>132</v>
      </c>
      <c r="L49" t="s">
        <v>31</v>
      </c>
      <c r="M49" t="s">
        <v>31</v>
      </c>
      <c r="N49" t="s">
        <v>31</v>
      </c>
      <c r="O49" t="s">
        <v>31</v>
      </c>
      <c r="P49" t="s">
        <v>31</v>
      </c>
      <c r="Q49" t="s">
        <v>31</v>
      </c>
      <c r="R49" t="s">
        <v>31</v>
      </c>
      <c r="S49" t="s">
        <v>31</v>
      </c>
      <c r="T49">
        <v>20</v>
      </c>
      <c r="U49">
        <v>29</v>
      </c>
      <c r="V49" t="s">
        <v>31</v>
      </c>
      <c r="W49" t="s">
        <v>31</v>
      </c>
      <c r="X49" t="s">
        <v>31</v>
      </c>
      <c r="Y49" t="s">
        <v>31</v>
      </c>
      <c r="Z49" t="s">
        <v>31</v>
      </c>
      <c r="AA49">
        <v>0</v>
      </c>
    </row>
    <row r="50" spans="1:27" x14ac:dyDescent="0.25">
      <c r="A50">
        <v>49</v>
      </c>
      <c r="B50" t="s">
        <v>27</v>
      </c>
      <c r="C50">
        <v>881</v>
      </c>
      <c r="D50" t="s">
        <v>53</v>
      </c>
      <c r="E50">
        <v>5118230330000100</v>
      </c>
      <c r="F50">
        <v>5118230330000100</v>
      </c>
      <c r="G50" t="s">
        <v>171</v>
      </c>
      <c r="H50" t="s">
        <v>172</v>
      </c>
      <c r="I50" t="s">
        <v>31</v>
      </c>
      <c r="J50" t="s">
        <v>30</v>
      </c>
      <c r="K50" t="s">
        <v>173</v>
      </c>
      <c r="L50" t="s">
        <v>31</v>
      </c>
      <c r="M50" t="s">
        <v>31</v>
      </c>
      <c r="N50" t="s">
        <v>31</v>
      </c>
      <c r="O50" t="s">
        <v>31</v>
      </c>
      <c r="P50" t="s">
        <v>31</v>
      </c>
      <c r="Q50" t="s">
        <v>31</v>
      </c>
      <c r="R50" t="s">
        <v>31</v>
      </c>
      <c r="S50" t="s">
        <v>31</v>
      </c>
      <c r="T50">
        <v>50</v>
      </c>
      <c r="U50">
        <v>61</v>
      </c>
      <c r="V50" t="s">
        <v>31</v>
      </c>
      <c r="W50" t="s">
        <v>31</v>
      </c>
      <c r="X50" t="s">
        <v>31</v>
      </c>
      <c r="Y50" t="s">
        <v>31</v>
      </c>
      <c r="Z50" t="s">
        <v>31</v>
      </c>
      <c r="AA50">
        <v>0</v>
      </c>
    </row>
    <row r="51" spans="1:27" x14ac:dyDescent="0.25">
      <c r="A51">
        <v>50</v>
      </c>
      <c r="B51" t="s">
        <v>27</v>
      </c>
      <c r="C51">
        <v>946</v>
      </c>
      <c r="D51" t="s">
        <v>53</v>
      </c>
      <c r="E51">
        <v>5118232260000100</v>
      </c>
      <c r="F51">
        <v>5118232260000100</v>
      </c>
      <c r="G51" t="s">
        <v>171</v>
      </c>
      <c r="H51" t="s">
        <v>172</v>
      </c>
      <c r="I51" t="s">
        <v>31</v>
      </c>
      <c r="J51" t="s">
        <v>30</v>
      </c>
      <c r="K51" t="s">
        <v>173</v>
      </c>
      <c r="L51" t="s">
        <v>31</v>
      </c>
      <c r="M51" t="s">
        <v>31</v>
      </c>
      <c r="N51" t="s">
        <v>31</v>
      </c>
      <c r="O51" t="s">
        <v>31</v>
      </c>
      <c r="P51" t="s">
        <v>31</v>
      </c>
      <c r="Q51" t="s">
        <v>31</v>
      </c>
      <c r="R51" t="s">
        <v>31</v>
      </c>
      <c r="S51" t="s">
        <v>31</v>
      </c>
      <c r="T51">
        <v>50</v>
      </c>
      <c r="U51">
        <v>61</v>
      </c>
      <c r="V51" t="s">
        <v>31</v>
      </c>
      <c r="W51" t="s">
        <v>31</v>
      </c>
      <c r="X51" t="s">
        <v>31</v>
      </c>
      <c r="Y51" t="s">
        <v>31</v>
      </c>
      <c r="Z51" t="s">
        <v>31</v>
      </c>
      <c r="AA51">
        <v>0</v>
      </c>
    </row>
    <row r="52" spans="1:27" x14ac:dyDescent="0.25">
      <c r="A52">
        <v>51</v>
      </c>
      <c r="B52" t="s">
        <v>27</v>
      </c>
      <c r="C52">
        <v>554</v>
      </c>
      <c r="D52" t="s">
        <v>53</v>
      </c>
      <c r="E52">
        <v>5118230000114000</v>
      </c>
      <c r="F52">
        <v>5118230000114000</v>
      </c>
      <c r="G52" t="s">
        <v>174</v>
      </c>
      <c r="H52">
        <v>114</v>
      </c>
      <c r="I52">
        <v>6253140114</v>
      </c>
      <c r="J52" t="s">
        <v>30</v>
      </c>
      <c r="K52" t="s">
        <v>175</v>
      </c>
      <c r="L52" t="s">
        <v>31</v>
      </c>
      <c r="M52" t="s">
        <v>31</v>
      </c>
      <c r="N52">
        <v>0</v>
      </c>
      <c r="O52" t="s">
        <v>126</v>
      </c>
      <c r="P52" t="s">
        <v>60</v>
      </c>
      <c r="Q52" t="s">
        <v>47</v>
      </c>
      <c r="R52" t="s">
        <v>61</v>
      </c>
      <c r="S52" t="s">
        <v>61</v>
      </c>
      <c r="T52">
        <v>45</v>
      </c>
      <c r="U52">
        <v>90</v>
      </c>
      <c r="V52" t="s">
        <v>31</v>
      </c>
      <c r="W52" t="s">
        <v>52</v>
      </c>
      <c r="X52" t="s">
        <v>99</v>
      </c>
      <c r="Y52">
        <v>0</v>
      </c>
      <c r="Z52" t="s">
        <v>40</v>
      </c>
      <c r="AA52">
        <v>0</v>
      </c>
    </row>
    <row r="53" spans="1:27" x14ac:dyDescent="0.25">
      <c r="A53">
        <v>52</v>
      </c>
      <c r="B53" t="s">
        <v>27</v>
      </c>
      <c r="C53">
        <v>516</v>
      </c>
      <c r="D53" t="s">
        <v>53</v>
      </c>
      <c r="E53">
        <v>5118230000075000</v>
      </c>
      <c r="F53">
        <v>5118230000075000</v>
      </c>
      <c r="G53" t="s">
        <v>176</v>
      </c>
      <c r="H53">
        <v>75</v>
      </c>
      <c r="I53">
        <v>6253030075</v>
      </c>
      <c r="J53" t="s">
        <v>30</v>
      </c>
      <c r="K53" t="s">
        <v>177</v>
      </c>
      <c r="L53" t="s">
        <v>31</v>
      </c>
      <c r="M53" t="s">
        <v>31</v>
      </c>
      <c r="N53">
        <v>0</v>
      </c>
      <c r="O53" t="s">
        <v>67</v>
      </c>
      <c r="P53" t="s">
        <v>118</v>
      </c>
      <c r="Q53" t="s">
        <v>47</v>
      </c>
      <c r="R53" t="s">
        <v>31</v>
      </c>
      <c r="S53" t="s">
        <v>61</v>
      </c>
      <c r="T53">
        <v>32</v>
      </c>
      <c r="U53">
        <v>66</v>
      </c>
      <c r="V53" t="s">
        <v>31</v>
      </c>
      <c r="W53" t="s">
        <v>52</v>
      </c>
      <c r="X53" t="s">
        <v>85</v>
      </c>
      <c r="Y53">
        <v>1</v>
      </c>
      <c r="Z53" t="s">
        <v>40</v>
      </c>
      <c r="AA53">
        <v>0</v>
      </c>
    </row>
    <row r="54" spans="1:27" x14ac:dyDescent="0.25">
      <c r="A54">
        <v>53</v>
      </c>
      <c r="B54" t="s">
        <v>27</v>
      </c>
      <c r="C54">
        <v>564</v>
      </c>
      <c r="D54" t="s">
        <v>53</v>
      </c>
      <c r="E54">
        <v>5118230000124000</v>
      </c>
      <c r="F54">
        <v>5118230000124000</v>
      </c>
      <c r="G54" t="s">
        <v>178</v>
      </c>
      <c r="H54">
        <v>124</v>
      </c>
      <c r="I54">
        <v>6253380124</v>
      </c>
      <c r="J54" t="s">
        <v>30</v>
      </c>
      <c r="K54" t="s">
        <v>179</v>
      </c>
      <c r="L54" t="s">
        <v>31</v>
      </c>
      <c r="M54" t="s">
        <v>31</v>
      </c>
      <c r="N54">
        <v>0</v>
      </c>
      <c r="O54" t="s">
        <v>59</v>
      </c>
      <c r="P54" t="s">
        <v>105</v>
      </c>
      <c r="Q54" t="s">
        <v>31</v>
      </c>
      <c r="R54" t="s">
        <v>31</v>
      </c>
      <c r="S54" t="s">
        <v>31</v>
      </c>
      <c r="T54">
        <v>16</v>
      </c>
      <c r="U54">
        <v>175</v>
      </c>
      <c r="V54" t="s">
        <v>31</v>
      </c>
      <c r="W54" t="s">
        <v>52</v>
      </c>
      <c r="X54" t="s">
        <v>85</v>
      </c>
      <c r="Y54">
        <v>0</v>
      </c>
      <c r="Z54" t="s">
        <v>40</v>
      </c>
      <c r="AA54">
        <v>0</v>
      </c>
    </row>
    <row r="55" spans="1:27" x14ac:dyDescent="0.25">
      <c r="A55">
        <v>54</v>
      </c>
      <c r="B55" t="s">
        <v>27</v>
      </c>
      <c r="C55">
        <v>911</v>
      </c>
      <c r="D55" t="s">
        <v>53</v>
      </c>
      <c r="E55">
        <v>5118230390050100</v>
      </c>
      <c r="F55">
        <v>5118230390050100</v>
      </c>
      <c r="G55" t="s">
        <v>108</v>
      </c>
      <c r="H55" t="s">
        <v>180</v>
      </c>
      <c r="I55" t="s">
        <v>31</v>
      </c>
      <c r="J55" t="s">
        <v>30</v>
      </c>
      <c r="K55" t="s">
        <v>181</v>
      </c>
      <c r="L55" t="s">
        <v>31</v>
      </c>
      <c r="M55" t="s">
        <v>31</v>
      </c>
      <c r="N55" t="s">
        <v>31</v>
      </c>
      <c r="O55" t="s">
        <v>31</v>
      </c>
      <c r="P55" t="s">
        <v>31</v>
      </c>
      <c r="Q55" t="s">
        <v>31</v>
      </c>
      <c r="R55" t="s">
        <v>31</v>
      </c>
      <c r="S55" t="s">
        <v>31</v>
      </c>
      <c r="T55">
        <v>39</v>
      </c>
      <c r="U55">
        <v>60</v>
      </c>
      <c r="V55" t="s">
        <v>31</v>
      </c>
      <c r="W55" t="s">
        <v>31</v>
      </c>
      <c r="X55" t="s">
        <v>31</v>
      </c>
      <c r="Y55" t="s">
        <v>31</v>
      </c>
      <c r="Z55" t="s">
        <v>31</v>
      </c>
      <c r="AA55">
        <v>0</v>
      </c>
    </row>
    <row r="56" spans="1:27" x14ac:dyDescent="0.25">
      <c r="A56">
        <v>55</v>
      </c>
      <c r="B56" t="s">
        <v>27</v>
      </c>
      <c r="C56">
        <v>561</v>
      </c>
      <c r="D56" t="s">
        <v>53</v>
      </c>
      <c r="E56">
        <v>5118230000121000</v>
      </c>
      <c r="F56">
        <v>5118230000121000</v>
      </c>
      <c r="G56" t="s">
        <v>182</v>
      </c>
      <c r="H56">
        <v>121</v>
      </c>
      <c r="I56">
        <v>6253380121</v>
      </c>
      <c r="J56" t="s">
        <v>30</v>
      </c>
      <c r="K56" t="s">
        <v>183</v>
      </c>
      <c r="L56" t="s">
        <v>31</v>
      </c>
      <c r="M56" t="s">
        <v>31</v>
      </c>
      <c r="N56">
        <v>0</v>
      </c>
      <c r="O56" t="s">
        <v>67</v>
      </c>
      <c r="P56" t="s">
        <v>184</v>
      </c>
      <c r="Q56" t="s">
        <v>47</v>
      </c>
      <c r="R56" t="s">
        <v>61</v>
      </c>
      <c r="S56" t="s">
        <v>31</v>
      </c>
      <c r="T56">
        <v>7</v>
      </c>
      <c r="U56">
        <v>1</v>
      </c>
      <c r="V56" t="s">
        <v>52</v>
      </c>
      <c r="W56" t="s">
        <v>37</v>
      </c>
      <c r="X56" t="s">
        <v>85</v>
      </c>
      <c r="Y56">
        <v>0</v>
      </c>
      <c r="Z56" t="s">
        <v>40</v>
      </c>
      <c r="AA56">
        <v>4</v>
      </c>
    </row>
    <row r="57" spans="1:27" x14ac:dyDescent="0.25">
      <c r="A57">
        <v>56</v>
      </c>
      <c r="B57" t="s">
        <v>27</v>
      </c>
      <c r="C57">
        <v>870</v>
      </c>
      <c r="D57" t="s">
        <v>53</v>
      </c>
      <c r="E57">
        <v>5118230310050100</v>
      </c>
      <c r="F57">
        <v>5118230310050100</v>
      </c>
      <c r="G57" t="s">
        <v>164</v>
      </c>
      <c r="H57" t="s">
        <v>185</v>
      </c>
      <c r="I57" t="s">
        <v>31</v>
      </c>
      <c r="J57" t="s">
        <v>30</v>
      </c>
      <c r="K57" t="s">
        <v>186</v>
      </c>
      <c r="L57" t="s">
        <v>31</v>
      </c>
      <c r="M57" t="s">
        <v>31</v>
      </c>
      <c r="N57" t="s">
        <v>31</v>
      </c>
      <c r="O57" t="s">
        <v>31</v>
      </c>
      <c r="P57" t="s">
        <v>31</v>
      </c>
      <c r="Q57" t="s">
        <v>31</v>
      </c>
      <c r="R57" t="s">
        <v>31</v>
      </c>
      <c r="S57" t="s">
        <v>31</v>
      </c>
      <c r="T57">
        <v>70</v>
      </c>
      <c r="U57">
        <v>133</v>
      </c>
      <c r="V57" t="s">
        <v>31</v>
      </c>
      <c r="W57" t="s">
        <v>31</v>
      </c>
      <c r="X57" t="s">
        <v>31</v>
      </c>
      <c r="Y57" t="s">
        <v>31</v>
      </c>
      <c r="Z57" t="s">
        <v>31</v>
      </c>
      <c r="AA57">
        <v>0</v>
      </c>
    </row>
    <row r="58" spans="1:27" x14ac:dyDescent="0.25">
      <c r="A58">
        <v>57</v>
      </c>
      <c r="B58" t="s">
        <v>27</v>
      </c>
      <c r="C58">
        <v>550</v>
      </c>
      <c r="D58" t="s">
        <v>53</v>
      </c>
      <c r="E58">
        <v>5118230000110000</v>
      </c>
      <c r="F58">
        <v>5118230000110000</v>
      </c>
      <c r="G58" t="s">
        <v>187</v>
      </c>
      <c r="H58">
        <v>110</v>
      </c>
      <c r="I58">
        <v>6253140110</v>
      </c>
      <c r="J58" t="s">
        <v>30</v>
      </c>
      <c r="K58" t="s">
        <v>188</v>
      </c>
      <c r="L58" t="s">
        <v>31</v>
      </c>
      <c r="M58" t="s">
        <v>31</v>
      </c>
      <c r="N58">
        <v>0</v>
      </c>
      <c r="O58" t="s">
        <v>59</v>
      </c>
      <c r="P58" t="s">
        <v>118</v>
      </c>
      <c r="Q58" t="s">
        <v>47</v>
      </c>
      <c r="R58" t="s">
        <v>61</v>
      </c>
      <c r="S58" t="s">
        <v>61</v>
      </c>
      <c r="T58">
        <v>10</v>
      </c>
      <c r="U58">
        <v>20</v>
      </c>
      <c r="V58" t="s">
        <v>31</v>
      </c>
      <c r="W58" t="s">
        <v>52</v>
      </c>
      <c r="X58" t="s">
        <v>99</v>
      </c>
      <c r="Y58">
        <v>0</v>
      </c>
      <c r="Z58" t="s">
        <v>40</v>
      </c>
      <c r="AA58">
        <v>0</v>
      </c>
    </row>
    <row r="59" spans="1:27" x14ac:dyDescent="0.25">
      <c r="A59">
        <v>58</v>
      </c>
      <c r="B59" t="s">
        <v>27</v>
      </c>
      <c r="C59">
        <v>535</v>
      </c>
      <c r="D59" t="s">
        <v>53</v>
      </c>
      <c r="E59">
        <v>5118230000094000</v>
      </c>
      <c r="F59">
        <v>5118230000094000</v>
      </c>
      <c r="G59" t="s">
        <v>189</v>
      </c>
      <c r="H59">
        <v>94</v>
      </c>
      <c r="I59">
        <v>6253110094</v>
      </c>
      <c r="J59" t="s">
        <v>30</v>
      </c>
      <c r="K59" t="s">
        <v>190</v>
      </c>
      <c r="L59" t="s">
        <v>31</v>
      </c>
      <c r="M59" t="s">
        <v>31</v>
      </c>
      <c r="N59">
        <v>0</v>
      </c>
      <c r="O59" t="s">
        <v>126</v>
      </c>
      <c r="P59" t="s">
        <v>151</v>
      </c>
      <c r="Q59" t="s">
        <v>35</v>
      </c>
      <c r="R59" t="s">
        <v>61</v>
      </c>
      <c r="S59" t="s">
        <v>61</v>
      </c>
      <c r="T59">
        <v>9</v>
      </c>
      <c r="U59">
        <v>10</v>
      </c>
      <c r="V59" t="s">
        <v>31</v>
      </c>
      <c r="W59" t="s">
        <v>37</v>
      </c>
      <c r="X59" t="s">
        <v>85</v>
      </c>
      <c r="Y59">
        <v>0</v>
      </c>
      <c r="Z59" t="s">
        <v>40</v>
      </c>
      <c r="AA59">
        <v>0</v>
      </c>
    </row>
    <row r="60" spans="1:27" x14ac:dyDescent="0.25">
      <c r="A60">
        <v>59</v>
      </c>
      <c r="B60" t="s">
        <v>27</v>
      </c>
      <c r="C60">
        <v>525</v>
      </c>
      <c r="D60" t="s">
        <v>53</v>
      </c>
      <c r="E60">
        <v>5118230000084000</v>
      </c>
      <c r="F60">
        <v>5118230000084000</v>
      </c>
      <c r="G60" t="s">
        <v>191</v>
      </c>
      <c r="H60">
        <v>84</v>
      </c>
      <c r="I60">
        <v>6253100084</v>
      </c>
      <c r="J60" t="s">
        <v>30</v>
      </c>
      <c r="K60" t="s">
        <v>192</v>
      </c>
      <c r="L60" t="s">
        <v>31</v>
      </c>
      <c r="M60" t="s">
        <v>31</v>
      </c>
      <c r="N60">
        <v>0</v>
      </c>
      <c r="O60" t="s">
        <v>67</v>
      </c>
      <c r="P60" t="s">
        <v>118</v>
      </c>
      <c r="Q60" t="s">
        <v>47</v>
      </c>
      <c r="R60" t="s">
        <v>61</v>
      </c>
      <c r="S60" t="s">
        <v>61</v>
      </c>
      <c r="T60">
        <v>11</v>
      </c>
      <c r="U60">
        <v>10</v>
      </c>
      <c r="V60" t="s">
        <v>31</v>
      </c>
      <c r="W60" t="s">
        <v>52</v>
      </c>
      <c r="X60" t="s">
        <v>115</v>
      </c>
      <c r="Y60">
        <v>0</v>
      </c>
      <c r="Z60" t="s">
        <v>40</v>
      </c>
      <c r="AA60">
        <v>9</v>
      </c>
    </row>
    <row r="61" spans="1:27" x14ac:dyDescent="0.25">
      <c r="A61">
        <v>60</v>
      </c>
      <c r="B61" t="s">
        <v>27</v>
      </c>
      <c r="C61">
        <v>571</v>
      </c>
      <c r="D61" t="s">
        <v>53</v>
      </c>
      <c r="E61">
        <v>5118230000131000</v>
      </c>
      <c r="F61">
        <v>5118230000131000</v>
      </c>
      <c r="G61" t="s">
        <v>193</v>
      </c>
      <c r="H61">
        <v>131</v>
      </c>
      <c r="I61">
        <v>6253390131</v>
      </c>
      <c r="J61" t="s">
        <v>30</v>
      </c>
      <c r="K61" t="s">
        <v>194</v>
      </c>
      <c r="L61" t="s">
        <v>31</v>
      </c>
      <c r="M61" t="s">
        <v>31</v>
      </c>
      <c r="N61">
        <v>0</v>
      </c>
      <c r="O61" t="s">
        <v>67</v>
      </c>
      <c r="P61" t="s">
        <v>60</v>
      </c>
      <c r="Q61" t="s">
        <v>47</v>
      </c>
      <c r="R61" t="s">
        <v>61</v>
      </c>
      <c r="S61" t="s">
        <v>61</v>
      </c>
      <c r="T61">
        <v>16</v>
      </c>
      <c r="U61">
        <v>20</v>
      </c>
      <c r="V61" t="s">
        <v>31</v>
      </c>
      <c r="W61" t="s">
        <v>52</v>
      </c>
      <c r="X61" t="s">
        <v>85</v>
      </c>
      <c r="Y61">
        <v>0</v>
      </c>
      <c r="Z61" t="s">
        <v>166</v>
      </c>
      <c r="AA61">
        <v>5</v>
      </c>
    </row>
    <row r="62" spans="1:27" x14ac:dyDescent="0.25">
      <c r="A62">
        <v>61</v>
      </c>
      <c r="B62" t="s">
        <v>27</v>
      </c>
      <c r="C62">
        <v>902</v>
      </c>
      <c r="D62" t="s">
        <v>53</v>
      </c>
      <c r="E62">
        <v>5118230360000100</v>
      </c>
      <c r="F62">
        <v>5118230360000100</v>
      </c>
      <c r="G62" t="s">
        <v>189</v>
      </c>
      <c r="H62" t="s">
        <v>195</v>
      </c>
      <c r="I62" t="s">
        <v>31</v>
      </c>
      <c r="J62" t="s">
        <v>30</v>
      </c>
      <c r="K62" t="s">
        <v>158</v>
      </c>
      <c r="L62" t="s">
        <v>31</v>
      </c>
      <c r="M62" t="s">
        <v>31</v>
      </c>
      <c r="N62" t="s">
        <v>31</v>
      </c>
      <c r="O62" t="s">
        <v>31</v>
      </c>
      <c r="P62" t="s">
        <v>31</v>
      </c>
      <c r="Q62" t="s">
        <v>31</v>
      </c>
      <c r="R62" t="s">
        <v>31</v>
      </c>
      <c r="S62" t="s">
        <v>31</v>
      </c>
      <c r="T62">
        <v>61</v>
      </c>
      <c r="U62">
        <v>79</v>
      </c>
      <c r="V62" t="s">
        <v>31</v>
      </c>
      <c r="W62" t="s">
        <v>31</v>
      </c>
      <c r="X62" t="s">
        <v>31</v>
      </c>
      <c r="Y62" t="s">
        <v>31</v>
      </c>
      <c r="Z62" t="s">
        <v>31</v>
      </c>
      <c r="AA62">
        <v>0</v>
      </c>
    </row>
    <row r="63" spans="1:27" x14ac:dyDescent="0.25">
      <c r="A63">
        <v>62</v>
      </c>
      <c r="B63" t="s">
        <v>27</v>
      </c>
      <c r="C63">
        <v>871</v>
      </c>
      <c r="D63" t="s">
        <v>53</v>
      </c>
      <c r="E63">
        <v>5118230310060100</v>
      </c>
      <c r="F63">
        <v>5118230310060100</v>
      </c>
      <c r="G63" t="s">
        <v>196</v>
      </c>
      <c r="H63" t="s">
        <v>197</v>
      </c>
      <c r="I63" t="s">
        <v>31</v>
      </c>
      <c r="J63" t="s">
        <v>30</v>
      </c>
      <c r="K63" t="s">
        <v>198</v>
      </c>
      <c r="L63" t="s">
        <v>31</v>
      </c>
      <c r="M63" t="s">
        <v>31</v>
      </c>
      <c r="N63" t="s">
        <v>31</v>
      </c>
      <c r="O63" t="s">
        <v>31</v>
      </c>
      <c r="P63" t="s">
        <v>31</v>
      </c>
      <c r="Q63" t="s">
        <v>31</v>
      </c>
      <c r="R63" t="s">
        <v>31</v>
      </c>
      <c r="S63" t="s">
        <v>31</v>
      </c>
      <c r="T63">
        <v>14</v>
      </c>
      <c r="U63">
        <v>21</v>
      </c>
      <c r="V63" t="s">
        <v>31</v>
      </c>
      <c r="W63" t="s">
        <v>31</v>
      </c>
      <c r="X63" t="s">
        <v>31</v>
      </c>
      <c r="Y63" t="s">
        <v>31</v>
      </c>
      <c r="Z63" t="s">
        <v>31</v>
      </c>
      <c r="AA63">
        <v>0</v>
      </c>
    </row>
    <row r="64" spans="1:27" x14ac:dyDescent="0.25">
      <c r="A64">
        <v>63</v>
      </c>
      <c r="B64" t="s">
        <v>27</v>
      </c>
      <c r="C64">
        <v>907</v>
      </c>
      <c r="D64" t="s">
        <v>53</v>
      </c>
      <c r="E64">
        <v>5118230390010100</v>
      </c>
      <c r="F64">
        <v>5118230390010100</v>
      </c>
      <c r="G64" t="s">
        <v>182</v>
      </c>
      <c r="H64" t="s">
        <v>199</v>
      </c>
      <c r="I64" t="s">
        <v>31</v>
      </c>
      <c r="J64" t="s">
        <v>30</v>
      </c>
      <c r="K64" t="s">
        <v>200</v>
      </c>
      <c r="L64" t="s">
        <v>31</v>
      </c>
      <c r="M64" t="s">
        <v>31</v>
      </c>
      <c r="N64" t="s">
        <v>31</v>
      </c>
      <c r="O64" t="s">
        <v>31</v>
      </c>
      <c r="P64" t="s">
        <v>31</v>
      </c>
      <c r="Q64" t="s">
        <v>31</v>
      </c>
      <c r="R64" t="s">
        <v>31</v>
      </c>
      <c r="S64" t="s">
        <v>31</v>
      </c>
      <c r="T64">
        <v>96</v>
      </c>
      <c r="U64">
        <v>128</v>
      </c>
      <c r="V64" t="s">
        <v>31</v>
      </c>
      <c r="W64" t="s">
        <v>31</v>
      </c>
      <c r="X64" t="s">
        <v>31</v>
      </c>
      <c r="Y64" t="s">
        <v>31</v>
      </c>
      <c r="Z64" t="s">
        <v>31</v>
      </c>
      <c r="AA64">
        <v>0</v>
      </c>
    </row>
    <row r="65" spans="1:27" x14ac:dyDescent="0.25">
      <c r="A65">
        <v>64</v>
      </c>
      <c r="B65" t="s">
        <v>27</v>
      </c>
      <c r="C65">
        <v>909</v>
      </c>
      <c r="D65" t="s">
        <v>53</v>
      </c>
      <c r="E65">
        <v>5118230390030100</v>
      </c>
      <c r="F65">
        <v>5118230390030100</v>
      </c>
      <c r="G65" t="s">
        <v>201</v>
      </c>
      <c r="H65" t="s">
        <v>202</v>
      </c>
      <c r="I65" t="s">
        <v>31</v>
      </c>
      <c r="J65" t="s">
        <v>30</v>
      </c>
      <c r="K65" t="s">
        <v>203</v>
      </c>
      <c r="L65" t="s">
        <v>31</v>
      </c>
      <c r="M65" t="s">
        <v>31</v>
      </c>
      <c r="N65" t="s">
        <v>31</v>
      </c>
      <c r="O65" t="s">
        <v>31</v>
      </c>
      <c r="P65" t="s">
        <v>31</v>
      </c>
      <c r="Q65" t="s">
        <v>31</v>
      </c>
      <c r="R65" t="s">
        <v>31</v>
      </c>
      <c r="S65" t="s">
        <v>31</v>
      </c>
      <c r="T65">
        <v>91</v>
      </c>
      <c r="U65">
        <v>112</v>
      </c>
      <c r="V65" t="s">
        <v>31</v>
      </c>
      <c r="W65" t="s">
        <v>31</v>
      </c>
      <c r="X65" t="s">
        <v>31</v>
      </c>
      <c r="Y65" t="s">
        <v>31</v>
      </c>
      <c r="Z65" t="s">
        <v>31</v>
      </c>
      <c r="AA65">
        <v>0</v>
      </c>
    </row>
    <row r="66" spans="1:27" x14ac:dyDescent="0.25">
      <c r="A66">
        <v>65</v>
      </c>
      <c r="B66" t="s">
        <v>27</v>
      </c>
      <c r="C66">
        <v>551</v>
      </c>
      <c r="D66" t="s">
        <v>53</v>
      </c>
      <c r="E66">
        <v>5118230000111000</v>
      </c>
      <c r="F66">
        <v>5118230000111000</v>
      </c>
      <c r="G66" t="s">
        <v>204</v>
      </c>
      <c r="H66">
        <v>111</v>
      </c>
      <c r="I66">
        <v>6253140111</v>
      </c>
      <c r="J66" t="s">
        <v>30</v>
      </c>
      <c r="K66" t="s">
        <v>205</v>
      </c>
      <c r="L66" t="s">
        <v>31</v>
      </c>
      <c r="M66" t="s">
        <v>31</v>
      </c>
      <c r="N66">
        <v>0</v>
      </c>
      <c r="O66" t="s">
        <v>59</v>
      </c>
      <c r="P66" t="s">
        <v>84</v>
      </c>
      <c r="Q66" t="s">
        <v>47</v>
      </c>
      <c r="R66" t="s">
        <v>61</v>
      </c>
      <c r="S66" t="s">
        <v>61</v>
      </c>
      <c r="T66">
        <v>22</v>
      </c>
      <c r="U66">
        <v>80</v>
      </c>
      <c r="V66" t="s">
        <v>37</v>
      </c>
      <c r="W66" t="s">
        <v>52</v>
      </c>
      <c r="X66" t="s">
        <v>39</v>
      </c>
      <c r="Y66">
        <v>0</v>
      </c>
      <c r="Z66" t="s">
        <v>40</v>
      </c>
      <c r="AA66">
        <v>0</v>
      </c>
    </row>
    <row r="67" spans="1:27" x14ac:dyDescent="0.25">
      <c r="A67">
        <v>66</v>
      </c>
      <c r="B67" t="s">
        <v>27</v>
      </c>
      <c r="C67">
        <v>884</v>
      </c>
      <c r="D67" t="s">
        <v>53</v>
      </c>
      <c r="E67">
        <v>5118230330030100</v>
      </c>
      <c r="F67">
        <v>5118230330030100</v>
      </c>
      <c r="G67" t="s">
        <v>204</v>
      </c>
      <c r="H67" t="s">
        <v>206</v>
      </c>
      <c r="I67" t="s">
        <v>31</v>
      </c>
      <c r="J67" t="s">
        <v>30</v>
      </c>
      <c r="K67" t="s">
        <v>132</v>
      </c>
      <c r="L67" t="s">
        <v>31</v>
      </c>
      <c r="M67" t="s">
        <v>31</v>
      </c>
      <c r="N67" t="s">
        <v>31</v>
      </c>
      <c r="O67" t="s">
        <v>31</v>
      </c>
      <c r="P67" t="s">
        <v>31</v>
      </c>
      <c r="Q67" t="s">
        <v>31</v>
      </c>
      <c r="R67" t="s">
        <v>31</v>
      </c>
      <c r="S67" t="s">
        <v>31</v>
      </c>
      <c r="T67">
        <v>60</v>
      </c>
      <c r="U67">
        <v>79</v>
      </c>
      <c r="V67" t="s">
        <v>31</v>
      </c>
      <c r="W67" t="s">
        <v>31</v>
      </c>
      <c r="X67" t="s">
        <v>31</v>
      </c>
      <c r="Y67" t="s">
        <v>31</v>
      </c>
      <c r="Z67" t="s">
        <v>31</v>
      </c>
      <c r="AA67">
        <v>0</v>
      </c>
    </row>
    <row r="68" spans="1:27" x14ac:dyDescent="0.25">
      <c r="A68">
        <v>67</v>
      </c>
      <c r="B68" t="s">
        <v>27</v>
      </c>
      <c r="C68">
        <v>894</v>
      </c>
      <c r="D68" t="s">
        <v>53</v>
      </c>
      <c r="E68">
        <v>5118230350000100</v>
      </c>
      <c r="F68">
        <v>5118230350000100</v>
      </c>
      <c r="G68" t="s">
        <v>207</v>
      </c>
      <c r="H68" t="s">
        <v>208</v>
      </c>
      <c r="I68" t="s">
        <v>31</v>
      </c>
      <c r="J68" t="s">
        <v>30</v>
      </c>
      <c r="K68" t="s">
        <v>209</v>
      </c>
      <c r="L68" t="s">
        <v>31</v>
      </c>
      <c r="M68" t="s">
        <v>31</v>
      </c>
      <c r="N68" t="s">
        <v>31</v>
      </c>
      <c r="O68" t="s">
        <v>31</v>
      </c>
      <c r="P68" t="s">
        <v>31</v>
      </c>
      <c r="Q68" t="s">
        <v>31</v>
      </c>
      <c r="R68" t="s">
        <v>31</v>
      </c>
      <c r="S68" t="s">
        <v>31</v>
      </c>
      <c r="T68">
        <v>10</v>
      </c>
      <c r="U68">
        <v>15</v>
      </c>
      <c r="V68" t="s">
        <v>31</v>
      </c>
      <c r="W68" t="s">
        <v>31</v>
      </c>
      <c r="X68" t="s">
        <v>31</v>
      </c>
      <c r="Y68" t="s">
        <v>31</v>
      </c>
      <c r="Z68" t="s">
        <v>31</v>
      </c>
      <c r="AA68">
        <v>0</v>
      </c>
    </row>
    <row r="69" spans="1:27" x14ac:dyDescent="0.25">
      <c r="A69">
        <v>69</v>
      </c>
      <c r="B69" t="s">
        <v>27</v>
      </c>
      <c r="C69">
        <v>518</v>
      </c>
      <c r="D69" t="s">
        <v>53</v>
      </c>
      <c r="E69">
        <v>5118230000077000</v>
      </c>
      <c r="F69">
        <v>5118230000077000</v>
      </c>
      <c r="G69" t="s">
        <v>210</v>
      </c>
      <c r="H69">
        <v>77</v>
      </c>
      <c r="I69">
        <v>6253090077</v>
      </c>
      <c r="J69" t="s">
        <v>30</v>
      </c>
      <c r="K69" t="s">
        <v>211</v>
      </c>
      <c r="L69" t="s">
        <v>31</v>
      </c>
      <c r="M69" t="s">
        <v>31</v>
      </c>
      <c r="N69">
        <v>0</v>
      </c>
      <c r="O69" t="s">
        <v>31</v>
      </c>
      <c r="P69" t="s">
        <v>60</v>
      </c>
      <c r="Q69" t="s">
        <v>31</v>
      </c>
      <c r="R69" t="s">
        <v>31</v>
      </c>
      <c r="S69" t="s">
        <v>31</v>
      </c>
      <c r="T69">
        <v>2</v>
      </c>
      <c r="U69">
        <v>100</v>
      </c>
      <c r="V69" t="s">
        <v>37</v>
      </c>
      <c r="W69" t="s">
        <v>37</v>
      </c>
      <c r="X69" t="s">
        <v>85</v>
      </c>
      <c r="Y69">
        <v>0</v>
      </c>
      <c r="Z69" t="s">
        <v>40</v>
      </c>
      <c r="AA69">
        <v>18</v>
      </c>
    </row>
    <row r="70" spans="1:27" x14ac:dyDescent="0.25">
      <c r="A70">
        <v>70</v>
      </c>
      <c r="B70" t="s">
        <v>27</v>
      </c>
      <c r="C70">
        <v>587</v>
      </c>
      <c r="D70" t="s">
        <v>28</v>
      </c>
      <c r="E70">
        <v>5118230000147000</v>
      </c>
      <c r="F70">
        <v>5118230000147000</v>
      </c>
      <c r="G70" t="s">
        <v>212</v>
      </c>
      <c r="H70">
        <v>147</v>
      </c>
      <c r="I70">
        <v>6253140147</v>
      </c>
      <c r="J70" t="s">
        <v>30</v>
      </c>
      <c r="K70" t="s">
        <v>213</v>
      </c>
      <c r="L70" t="s">
        <v>31</v>
      </c>
      <c r="M70" t="s">
        <v>31</v>
      </c>
      <c r="N70">
        <v>0</v>
      </c>
      <c r="O70" t="s">
        <v>31</v>
      </c>
      <c r="P70" t="s">
        <v>214</v>
      </c>
      <c r="Q70" t="s">
        <v>47</v>
      </c>
      <c r="R70" t="s">
        <v>36</v>
      </c>
      <c r="S70" t="s">
        <v>36</v>
      </c>
      <c r="T70">
        <v>7</v>
      </c>
      <c r="U70">
        <v>10</v>
      </c>
      <c r="V70" t="s">
        <v>52</v>
      </c>
      <c r="W70" t="s">
        <v>37</v>
      </c>
      <c r="X70" t="s">
        <v>39</v>
      </c>
      <c r="Y70">
        <v>0</v>
      </c>
      <c r="Z70" t="s">
        <v>40</v>
      </c>
      <c r="AA70">
        <v>0</v>
      </c>
    </row>
    <row r="71" spans="1:27" x14ac:dyDescent="0.25">
      <c r="A71">
        <v>71</v>
      </c>
      <c r="B71" t="s">
        <v>27</v>
      </c>
      <c r="C71">
        <v>542</v>
      </c>
      <c r="D71" t="s">
        <v>53</v>
      </c>
      <c r="E71">
        <v>5118230000101000</v>
      </c>
      <c r="F71">
        <v>5118230000101000</v>
      </c>
      <c r="G71" t="s">
        <v>207</v>
      </c>
      <c r="H71">
        <v>101</v>
      </c>
      <c r="I71">
        <v>6253130101</v>
      </c>
      <c r="J71" t="s">
        <v>30</v>
      </c>
      <c r="K71" t="s">
        <v>215</v>
      </c>
      <c r="L71" t="s">
        <v>31</v>
      </c>
      <c r="M71" t="s">
        <v>31</v>
      </c>
      <c r="N71">
        <v>0</v>
      </c>
      <c r="O71" t="s">
        <v>59</v>
      </c>
      <c r="P71" t="s">
        <v>60</v>
      </c>
      <c r="Q71" t="s">
        <v>31</v>
      </c>
      <c r="R71" t="s">
        <v>61</v>
      </c>
      <c r="S71" t="s">
        <v>61</v>
      </c>
      <c r="T71">
        <v>42</v>
      </c>
      <c r="U71">
        <v>30</v>
      </c>
      <c r="V71" t="s">
        <v>31</v>
      </c>
      <c r="W71" t="s">
        <v>52</v>
      </c>
      <c r="X71" t="s">
        <v>39</v>
      </c>
      <c r="Y71">
        <v>0</v>
      </c>
      <c r="Z71" t="s">
        <v>40</v>
      </c>
      <c r="AA71">
        <v>0</v>
      </c>
    </row>
    <row r="72" spans="1:27" x14ac:dyDescent="0.25">
      <c r="A72">
        <v>72</v>
      </c>
      <c r="B72" t="s">
        <v>27</v>
      </c>
      <c r="C72">
        <v>901</v>
      </c>
      <c r="D72" t="s">
        <v>53</v>
      </c>
      <c r="E72">
        <v>5118230350070100</v>
      </c>
      <c r="F72">
        <v>5118230350070100</v>
      </c>
      <c r="G72" t="s">
        <v>216</v>
      </c>
      <c r="H72" t="s">
        <v>217</v>
      </c>
      <c r="I72" t="s">
        <v>31</v>
      </c>
      <c r="J72" t="s">
        <v>30</v>
      </c>
      <c r="K72" t="s">
        <v>218</v>
      </c>
      <c r="L72" t="s">
        <v>31</v>
      </c>
      <c r="M72" t="s">
        <v>31</v>
      </c>
      <c r="N72" t="s">
        <v>31</v>
      </c>
      <c r="O72" t="s">
        <v>31</v>
      </c>
      <c r="P72" t="s">
        <v>31</v>
      </c>
      <c r="Q72" t="s">
        <v>31</v>
      </c>
      <c r="R72" t="s">
        <v>31</v>
      </c>
      <c r="S72" t="s">
        <v>31</v>
      </c>
      <c r="T72">
        <v>68</v>
      </c>
      <c r="U72">
        <v>85</v>
      </c>
      <c r="V72" t="s">
        <v>31</v>
      </c>
      <c r="W72" t="s">
        <v>31</v>
      </c>
      <c r="X72" t="s">
        <v>31</v>
      </c>
      <c r="Y72" t="s">
        <v>31</v>
      </c>
      <c r="Z72" t="s">
        <v>31</v>
      </c>
      <c r="AA72">
        <v>0</v>
      </c>
    </row>
    <row r="73" spans="1:27" x14ac:dyDescent="0.25">
      <c r="A73">
        <v>73</v>
      </c>
      <c r="B73" t="s">
        <v>27</v>
      </c>
      <c r="C73">
        <v>541</v>
      </c>
      <c r="D73" t="s">
        <v>53</v>
      </c>
      <c r="E73">
        <v>5118230000100000</v>
      </c>
      <c r="F73">
        <v>5118230000100000</v>
      </c>
      <c r="G73" t="s">
        <v>216</v>
      </c>
      <c r="H73">
        <v>100</v>
      </c>
      <c r="I73">
        <v>6253130100</v>
      </c>
      <c r="J73" t="s">
        <v>30</v>
      </c>
      <c r="K73" t="s">
        <v>215</v>
      </c>
      <c r="L73" t="s">
        <v>31</v>
      </c>
      <c r="M73" t="s">
        <v>31</v>
      </c>
      <c r="N73">
        <v>0</v>
      </c>
      <c r="O73" t="s">
        <v>59</v>
      </c>
      <c r="P73" t="s">
        <v>219</v>
      </c>
      <c r="Q73" t="s">
        <v>31</v>
      </c>
      <c r="R73" t="s">
        <v>61</v>
      </c>
      <c r="S73" t="s">
        <v>31</v>
      </c>
      <c r="T73">
        <v>17</v>
      </c>
      <c r="U73">
        <v>50</v>
      </c>
      <c r="V73" t="s">
        <v>31</v>
      </c>
      <c r="W73" t="s">
        <v>52</v>
      </c>
      <c r="X73" t="s">
        <v>39</v>
      </c>
      <c r="Y73">
        <v>0</v>
      </c>
      <c r="Z73" t="s">
        <v>40</v>
      </c>
      <c r="AA73">
        <v>3</v>
      </c>
    </row>
    <row r="74" spans="1:27" x14ac:dyDescent="0.25">
      <c r="A74">
        <v>74</v>
      </c>
      <c r="B74" t="s">
        <v>27</v>
      </c>
      <c r="C74">
        <v>570</v>
      </c>
      <c r="D74" t="s">
        <v>53</v>
      </c>
      <c r="E74">
        <v>5118230000130000</v>
      </c>
      <c r="F74">
        <v>5118230000130000</v>
      </c>
      <c r="G74" t="s">
        <v>220</v>
      </c>
      <c r="H74">
        <v>130</v>
      </c>
      <c r="I74">
        <v>6253390130</v>
      </c>
      <c r="J74" t="s">
        <v>30</v>
      </c>
      <c r="K74" t="s">
        <v>221</v>
      </c>
      <c r="L74" t="s">
        <v>31</v>
      </c>
      <c r="M74" t="s">
        <v>31</v>
      </c>
      <c r="N74">
        <v>0</v>
      </c>
      <c r="O74" t="s">
        <v>59</v>
      </c>
      <c r="P74" t="s">
        <v>111</v>
      </c>
      <c r="Q74" t="s">
        <v>47</v>
      </c>
      <c r="R74" t="s">
        <v>61</v>
      </c>
      <c r="S74" t="s">
        <v>61</v>
      </c>
      <c r="T74">
        <v>74</v>
      </c>
      <c r="U74">
        <v>60</v>
      </c>
      <c r="V74" t="s">
        <v>37</v>
      </c>
      <c r="W74" t="s">
        <v>52</v>
      </c>
      <c r="X74" t="s">
        <v>85</v>
      </c>
      <c r="Y74">
        <v>0</v>
      </c>
      <c r="Z74" t="s">
        <v>40</v>
      </c>
      <c r="AA74">
        <v>3</v>
      </c>
    </row>
    <row r="75" spans="1:27" x14ac:dyDescent="0.25">
      <c r="A75">
        <v>75</v>
      </c>
      <c r="B75" t="s">
        <v>27</v>
      </c>
      <c r="C75">
        <v>543</v>
      </c>
      <c r="D75" t="s">
        <v>53</v>
      </c>
      <c r="E75">
        <v>5118230000102000</v>
      </c>
      <c r="F75">
        <v>5118230000102000</v>
      </c>
      <c r="G75" t="s">
        <v>222</v>
      </c>
      <c r="H75">
        <v>102</v>
      </c>
      <c r="I75">
        <v>6253130102</v>
      </c>
      <c r="J75" t="s">
        <v>30</v>
      </c>
      <c r="K75" t="s">
        <v>223</v>
      </c>
      <c r="L75" t="s">
        <v>31</v>
      </c>
      <c r="M75" t="s">
        <v>31</v>
      </c>
      <c r="N75">
        <v>0</v>
      </c>
      <c r="O75" t="s">
        <v>59</v>
      </c>
      <c r="P75" t="s">
        <v>94</v>
      </c>
      <c r="Q75" t="s">
        <v>31</v>
      </c>
      <c r="R75" t="s">
        <v>61</v>
      </c>
      <c r="S75" t="s">
        <v>61</v>
      </c>
      <c r="T75">
        <v>39</v>
      </c>
      <c r="U75">
        <v>90</v>
      </c>
      <c r="V75" t="s">
        <v>31</v>
      </c>
      <c r="W75" t="s">
        <v>52</v>
      </c>
      <c r="X75" t="s">
        <v>39</v>
      </c>
      <c r="Y75">
        <v>0</v>
      </c>
      <c r="Z75" t="s">
        <v>40</v>
      </c>
      <c r="AA75">
        <v>10</v>
      </c>
    </row>
    <row r="76" spans="1:27" x14ac:dyDescent="0.25">
      <c r="A76">
        <v>76</v>
      </c>
      <c r="B76" t="s">
        <v>27</v>
      </c>
      <c r="C76">
        <v>906</v>
      </c>
      <c r="D76" t="s">
        <v>28</v>
      </c>
      <c r="E76">
        <v>5118230390000100</v>
      </c>
      <c r="F76">
        <v>5118230390000100</v>
      </c>
      <c r="G76" t="s">
        <v>224</v>
      </c>
      <c r="H76" t="s">
        <v>225</v>
      </c>
      <c r="I76" t="s">
        <v>31</v>
      </c>
      <c r="J76" t="s">
        <v>30</v>
      </c>
      <c r="K76" t="s">
        <v>226</v>
      </c>
      <c r="L76" t="s">
        <v>31</v>
      </c>
      <c r="M76" t="s">
        <v>31</v>
      </c>
      <c r="N76" t="s">
        <v>31</v>
      </c>
      <c r="O76" t="s">
        <v>31</v>
      </c>
      <c r="P76" t="s">
        <v>31</v>
      </c>
      <c r="Q76" t="s">
        <v>31</v>
      </c>
      <c r="R76" t="s">
        <v>31</v>
      </c>
      <c r="S76" t="s">
        <v>31</v>
      </c>
      <c r="T76">
        <v>211</v>
      </c>
      <c r="U76">
        <v>500</v>
      </c>
      <c r="V76" t="s">
        <v>31</v>
      </c>
      <c r="W76" t="s">
        <v>31</v>
      </c>
      <c r="X76" t="s">
        <v>31</v>
      </c>
      <c r="Y76" t="s">
        <v>31</v>
      </c>
      <c r="Z76" t="s">
        <v>31</v>
      </c>
      <c r="AA76">
        <v>0</v>
      </c>
    </row>
    <row r="77" spans="1:27" x14ac:dyDescent="0.25">
      <c r="A77">
        <v>77</v>
      </c>
      <c r="B77" t="s">
        <v>27</v>
      </c>
      <c r="C77">
        <v>549</v>
      </c>
      <c r="D77" t="s">
        <v>53</v>
      </c>
      <c r="E77">
        <v>5118230000109000</v>
      </c>
      <c r="F77">
        <v>5118230000109000</v>
      </c>
      <c r="G77" t="s">
        <v>227</v>
      </c>
      <c r="H77">
        <v>109</v>
      </c>
      <c r="I77">
        <v>6253140109</v>
      </c>
      <c r="J77" t="s">
        <v>30</v>
      </c>
      <c r="K77" t="s">
        <v>228</v>
      </c>
      <c r="L77" t="s">
        <v>31</v>
      </c>
      <c r="M77" t="s">
        <v>31</v>
      </c>
      <c r="N77">
        <v>0</v>
      </c>
      <c r="O77" t="s">
        <v>59</v>
      </c>
      <c r="P77" t="s">
        <v>118</v>
      </c>
      <c r="Q77" t="s">
        <v>47</v>
      </c>
      <c r="R77" t="s">
        <v>61</v>
      </c>
      <c r="S77" t="s">
        <v>61</v>
      </c>
      <c r="T77">
        <v>27</v>
      </c>
      <c r="U77">
        <v>70</v>
      </c>
      <c r="V77" t="s">
        <v>31</v>
      </c>
      <c r="W77" t="s">
        <v>52</v>
      </c>
      <c r="X77" t="s">
        <v>39</v>
      </c>
      <c r="Y77">
        <v>0</v>
      </c>
      <c r="Z77" t="s">
        <v>40</v>
      </c>
      <c r="AA77">
        <v>0</v>
      </c>
    </row>
    <row r="78" spans="1:27" x14ac:dyDescent="0.25">
      <c r="A78">
        <v>78</v>
      </c>
      <c r="B78" t="s">
        <v>27</v>
      </c>
      <c r="C78">
        <v>885</v>
      </c>
      <c r="D78" t="s">
        <v>53</v>
      </c>
      <c r="E78">
        <v>5118230330040100</v>
      </c>
      <c r="F78">
        <v>5118230330040100</v>
      </c>
      <c r="G78" t="s">
        <v>229</v>
      </c>
      <c r="H78" t="s">
        <v>230</v>
      </c>
      <c r="I78" t="s">
        <v>31</v>
      </c>
      <c r="J78" t="s">
        <v>30</v>
      </c>
      <c r="K78" t="s">
        <v>132</v>
      </c>
      <c r="L78" t="s">
        <v>31</v>
      </c>
      <c r="M78" t="s">
        <v>31</v>
      </c>
      <c r="N78" t="s">
        <v>31</v>
      </c>
      <c r="O78" t="s">
        <v>31</v>
      </c>
      <c r="P78" t="s">
        <v>31</v>
      </c>
      <c r="Q78" t="s">
        <v>31</v>
      </c>
      <c r="R78" t="s">
        <v>31</v>
      </c>
      <c r="S78" t="s">
        <v>31</v>
      </c>
      <c r="T78">
        <v>46</v>
      </c>
      <c r="U78">
        <v>62</v>
      </c>
      <c r="V78" t="s">
        <v>31</v>
      </c>
      <c r="W78" t="s">
        <v>31</v>
      </c>
      <c r="X78" t="s">
        <v>31</v>
      </c>
      <c r="Y78" t="s">
        <v>31</v>
      </c>
      <c r="Z78" t="s">
        <v>31</v>
      </c>
      <c r="AA78">
        <v>0</v>
      </c>
    </row>
    <row r="79" spans="1:27" x14ac:dyDescent="0.25">
      <c r="A79">
        <v>79</v>
      </c>
      <c r="B79" t="s">
        <v>27</v>
      </c>
      <c r="C79">
        <v>887</v>
      </c>
      <c r="D79" t="s">
        <v>53</v>
      </c>
      <c r="E79">
        <v>5118230330060100</v>
      </c>
      <c r="F79">
        <v>5118230330060100</v>
      </c>
      <c r="G79" t="s">
        <v>231</v>
      </c>
      <c r="H79" t="s">
        <v>232</v>
      </c>
      <c r="I79" t="s">
        <v>31</v>
      </c>
      <c r="J79" t="s">
        <v>30</v>
      </c>
      <c r="K79" t="s">
        <v>233</v>
      </c>
      <c r="L79" t="s">
        <v>31</v>
      </c>
      <c r="M79" t="s">
        <v>31</v>
      </c>
      <c r="N79" t="s">
        <v>31</v>
      </c>
      <c r="O79" t="s">
        <v>31</v>
      </c>
      <c r="P79" t="s">
        <v>31</v>
      </c>
      <c r="Q79" t="s">
        <v>31</v>
      </c>
      <c r="R79" t="s">
        <v>31</v>
      </c>
      <c r="S79" t="s">
        <v>31</v>
      </c>
      <c r="T79">
        <v>40</v>
      </c>
      <c r="U79">
        <v>91</v>
      </c>
      <c r="V79" t="s">
        <v>31</v>
      </c>
      <c r="W79" t="s">
        <v>31</v>
      </c>
      <c r="X79" t="s">
        <v>31</v>
      </c>
      <c r="Y79" t="s">
        <v>31</v>
      </c>
      <c r="Z79" t="s">
        <v>31</v>
      </c>
      <c r="AA79">
        <v>0</v>
      </c>
    </row>
    <row r="80" spans="1:27" x14ac:dyDescent="0.25">
      <c r="A80">
        <v>80</v>
      </c>
      <c r="B80" t="s">
        <v>27</v>
      </c>
      <c r="C80">
        <v>863</v>
      </c>
      <c r="D80" t="s">
        <v>53</v>
      </c>
      <c r="E80">
        <v>5118230300000100</v>
      </c>
      <c r="F80">
        <v>5118230300000100</v>
      </c>
      <c r="G80" t="s">
        <v>234</v>
      </c>
      <c r="H80" t="s">
        <v>235</v>
      </c>
      <c r="I80" t="s">
        <v>31</v>
      </c>
      <c r="J80" t="s">
        <v>30</v>
      </c>
      <c r="K80" t="s">
        <v>236</v>
      </c>
      <c r="L80" t="s">
        <v>31</v>
      </c>
      <c r="M80" t="s">
        <v>31</v>
      </c>
      <c r="N80" t="s">
        <v>31</v>
      </c>
      <c r="O80" t="s">
        <v>31</v>
      </c>
      <c r="P80" t="s">
        <v>31</v>
      </c>
      <c r="Q80" t="s">
        <v>31</v>
      </c>
      <c r="R80" t="s">
        <v>31</v>
      </c>
      <c r="S80" t="s">
        <v>31</v>
      </c>
      <c r="T80">
        <v>206</v>
      </c>
      <c r="U80">
        <v>250</v>
      </c>
      <c r="V80" t="s">
        <v>31</v>
      </c>
      <c r="W80" t="s">
        <v>31</v>
      </c>
      <c r="X80" t="s">
        <v>31</v>
      </c>
      <c r="Y80" t="s">
        <v>31</v>
      </c>
      <c r="Z80" t="s">
        <v>31</v>
      </c>
      <c r="AA80">
        <v>0</v>
      </c>
    </row>
    <row r="81" spans="1:27" x14ac:dyDescent="0.25">
      <c r="A81">
        <v>81</v>
      </c>
      <c r="B81" t="s">
        <v>27</v>
      </c>
      <c r="C81">
        <v>864</v>
      </c>
      <c r="D81" t="s">
        <v>41</v>
      </c>
      <c r="E81">
        <v>5118230300000100</v>
      </c>
      <c r="F81">
        <v>5118230300000100</v>
      </c>
      <c r="G81" t="s">
        <v>237</v>
      </c>
      <c r="H81" t="s">
        <v>238</v>
      </c>
      <c r="I81" t="s">
        <v>31</v>
      </c>
      <c r="J81" t="s">
        <v>30</v>
      </c>
      <c r="K81" t="s">
        <v>236</v>
      </c>
      <c r="L81" t="s">
        <v>31</v>
      </c>
      <c r="M81" t="s">
        <v>31</v>
      </c>
      <c r="N81" t="s">
        <v>31</v>
      </c>
      <c r="O81" t="s">
        <v>31</v>
      </c>
      <c r="P81" t="s">
        <v>31</v>
      </c>
      <c r="Q81" t="s">
        <v>31</v>
      </c>
      <c r="R81" t="s">
        <v>31</v>
      </c>
      <c r="S81" t="s">
        <v>31</v>
      </c>
      <c r="T81">
        <v>168</v>
      </c>
      <c r="U81">
        <v>250</v>
      </c>
      <c r="V81" t="s">
        <v>31</v>
      </c>
      <c r="W81" t="s">
        <v>31</v>
      </c>
      <c r="X81" t="s">
        <v>31</v>
      </c>
      <c r="Y81" t="s">
        <v>31</v>
      </c>
      <c r="Z81" t="s">
        <v>31</v>
      </c>
      <c r="AA81">
        <v>0</v>
      </c>
    </row>
    <row r="82" spans="1:27" x14ac:dyDescent="0.25">
      <c r="A82">
        <v>82</v>
      </c>
      <c r="B82" t="s">
        <v>27</v>
      </c>
      <c r="C82">
        <v>872</v>
      </c>
      <c r="D82" t="s">
        <v>53</v>
      </c>
      <c r="E82">
        <v>5118230310070100</v>
      </c>
      <c r="F82">
        <v>5118230310070100</v>
      </c>
      <c r="G82" t="s">
        <v>239</v>
      </c>
      <c r="H82" t="s">
        <v>240</v>
      </c>
      <c r="I82" t="s">
        <v>31</v>
      </c>
      <c r="J82" t="s">
        <v>30</v>
      </c>
      <c r="K82" t="s">
        <v>198</v>
      </c>
      <c r="L82" t="s">
        <v>31</v>
      </c>
      <c r="M82" t="s">
        <v>31</v>
      </c>
      <c r="N82" t="s">
        <v>31</v>
      </c>
      <c r="O82" t="s">
        <v>31</v>
      </c>
      <c r="P82" t="s">
        <v>31</v>
      </c>
      <c r="Q82" t="s">
        <v>31</v>
      </c>
      <c r="R82" t="s">
        <v>31</v>
      </c>
      <c r="S82" t="s">
        <v>31</v>
      </c>
      <c r="T82">
        <v>47</v>
      </c>
      <c r="U82">
        <v>69</v>
      </c>
      <c r="V82" t="s">
        <v>31</v>
      </c>
      <c r="W82" t="s">
        <v>31</v>
      </c>
      <c r="X82" t="s">
        <v>31</v>
      </c>
      <c r="Y82" t="s">
        <v>31</v>
      </c>
      <c r="Z82" t="s">
        <v>31</v>
      </c>
      <c r="AA82">
        <v>0</v>
      </c>
    </row>
    <row r="83" spans="1:27" x14ac:dyDescent="0.25">
      <c r="A83">
        <v>83</v>
      </c>
      <c r="B83" t="s">
        <v>27</v>
      </c>
      <c r="C83">
        <v>865</v>
      </c>
      <c r="D83" t="s">
        <v>53</v>
      </c>
      <c r="E83">
        <v>5118230310000100</v>
      </c>
      <c r="F83">
        <v>5118230310000100</v>
      </c>
      <c r="G83" t="s">
        <v>241</v>
      </c>
      <c r="H83" t="s">
        <v>242</v>
      </c>
      <c r="I83" t="s">
        <v>31</v>
      </c>
      <c r="J83" t="s">
        <v>30</v>
      </c>
      <c r="K83" t="s">
        <v>198</v>
      </c>
      <c r="L83" t="s">
        <v>31</v>
      </c>
      <c r="M83" t="s">
        <v>31</v>
      </c>
      <c r="N83" t="s">
        <v>31</v>
      </c>
      <c r="O83" t="s">
        <v>31</v>
      </c>
      <c r="P83" t="s">
        <v>31</v>
      </c>
      <c r="Q83" t="s">
        <v>31</v>
      </c>
      <c r="R83" t="s">
        <v>31</v>
      </c>
      <c r="S83" t="s">
        <v>31</v>
      </c>
      <c r="T83">
        <v>40</v>
      </c>
      <c r="U83">
        <v>59</v>
      </c>
      <c r="V83" t="s">
        <v>31</v>
      </c>
      <c r="W83" t="s">
        <v>31</v>
      </c>
      <c r="X83" t="s">
        <v>31</v>
      </c>
      <c r="Y83" t="s">
        <v>31</v>
      </c>
      <c r="Z83" t="s">
        <v>31</v>
      </c>
      <c r="AA83">
        <v>0</v>
      </c>
    </row>
    <row r="84" spans="1:27" x14ac:dyDescent="0.25">
      <c r="A84">
        <v>84</v>
      </c>
      <c r="B84" t="s">
        <v>27</v>
      </c>
      <c r="C84">
        <v>526</v>
      </c>
      <c r="D84" t="s">
        <v>53</v>
      </c>
      <c r="E84">
        <v>5118230000085000</v>
      </c>
      <c r="F84">
        <v>5118230000085000</v>
      </c>
      <c r="G84" t="s">
        <v>243</v>
      </c>
      <c r="H84">
        <v>85</v>
      </c>
      <c r="I84">
        <v>6253100085</v>
      </c>
      <c r="J84" t="s">
        <v>30</v>
      </c>
      <c r="K84" t="s">
        <v>244</v>
      </c>
      <c r="L84" t="s">
        <v>31</v>
      </c>
      <c r="M84" t="s">
        <v>31</v>
      </c>
      <c r="N84">
        <v>0</v>
      </c>
      <c r="O84" t="s">
        <v>67</v>
      </c>
      <c r="P84" t="s">
        <v>245</v>
      </c>
      <c r="Q84" t="s">
        <v>47</v>
      </c>
      <c r="R84" t="s">
        <v>61</v>
      </c>
      <c r="S84" t="s">
        <v>61</v>
      </c>
      <c r="T84">
        <v>37</v>
      </c>
      <c r="U84">
        <v>80</v>
      </c>
      <c r="V84" t="s">
        <v>31</v>
      </c>
      <c r="W84" t="s">
        <v>52</v>
      </c>
      <c r="X84" t="s">
        <v>39</v>
      </c>
      <c r="Y84">
        <v>0</v>
      </c>
      <c r="Z84" t="s">
        <v>40</v>
      </c>
      <c r="AA84">
        <v>0</v>
      </c>
    </row>
    <row r="85" spans="1:27" x14ac:dyDescent="0.25">
      <c r="A85">
        <v>85</v>
      </c>
      <c r="B85" t="s">
        <v>27</v>
      </c>
      <c r="C85">
        <v>517</v>
      </c>
      <c r="D85" t="s">
        <v>41</v>
      </c>
      <c r="E85">
        <v>5118230000076000</v>
      </c>
      <c r="F85">
        <v>5118230000076000</v>
      </c>
      <c r="G85" t="s">
        <v>237</v>
      </c>
      <c r="H85">
        <v>76</v>
      </c>
      <c r="I85">
        <v>6253090076</v>
      </c>
      <c r="J85" t="s">
        <v>30</v>
      </c>
      <c r="K85" t="s">
        <v>246</v>
      </c>
      <c r="L85" t="s">
        <v>31</v>
      </c>
      <c r="M85" t="s">
        <v>31</v>
      </c>
      <c r="N85">
        <v>0</v>
      </c>
      <c r="O85" t="s">
        <v>31</v>
      </c>
      <c r="P85" t="s">
        <v>31</v>
      </c>
      <c r="Q85" t="s">
        <v>31</v>
      </c>
      <c r="R85" t="s">
        <v>31</v>
      </c>
      <c r="S85" t="s">
        <v>31</v>
      </c>
      <c r="T85">
        <v>110</v>
      </c>
      <c r="U85">
        <v>110</v>
      </c>
      <c r="V85" t="s">
        <v>31</v>
      </c>
      <c r="W85" t="s">
        <v>38</v>
      </c>
      <c r="X85" t="s">
        <v>39</v>
      </c>
      <c r="Y85">
        <v>0</v>
      </c>
      <c r="Z85" t="s">
        <v>49</v>
      </c>
      <c r="AA85">
        <v>0</v>
      </c>
    </row>
    <row r="86" spans="1:27" x14ac:dyDescent="0.25">
      <c r="A86">
        <v>86</v>
      </c>
      <c r="B86" t="s">
        <v>27</v>
      </c>
      <c r="C86">
        <v>523</v>
      </c>
      <c r="D86" t="s">
        <v>53</v>
      </c>
      <c r="E86">
        <v>5118230000082000</v>
      </c>
      <c r="F86">
        <v>5118230000082000</v>
      </c>
      <c r="G86" t="s">
        <v>247</v>
      </c>
      <c r="H86">
        <v>82</v>
      </c>
      <c r="I86">
        <v>6253100082</v>
      </c>
      <c r="J86" t="s">
        <v>30</v>
      </c>
      <c r="K86" t="s">
        <v>248</v>
      </c>
      <c r="L86" t="s">
        <v>31</v>
      </c>
      <c r="M86" t="s">
        <v>31</v>
      </c>
      <c r="N86">
        <v>0</v>
      </c>
      <c r="O86" t="s">
        <v>67</v>
      </c>
      <c r="P86" t="s">
        <v>249</v>
      </c>
      <c r="Q86" t="s">
        <v>47</v>
      </c>
      <c r="R86" t="s">
        <v>61</v>
      </c>
      <c r="S86" t="s">
        <v>61</v>
      </c>
      <c r="T86">
        <v>36</v>
      </c>
      <c r="U86">
        <v>80</v>
      </c>
      <c r="V86" t="s">
        <v>37</v>
      </c>
      <c r="W86" t="s">
        <v>52</v>
      </c>
      <c r="X86" t="s">
        <v>39</v>
      </c>
      <c r="Y86">
        <v>0</v>
      </c>
      <c r="Z86" t="s">
        <v>40</v>
      </c>
      <c r="AA86">
        <v>15</v>
      </c>
    </row>
    <row r="87" spans="1:27" x14ac:dyDescent="0.25">
      <c r="A87">
        <v>87</v>
      </c>
      <c r="B87" t="s">
        <v>27</v>
      </c>
      <c r="C87">
        <v>910</v>
      </c>
      <c r="D87" t="s">
        <v>53</v>
      </c>
      <c r="E87">
        <v>5118230390040100</v>
      </c>
      <c r="F87">
        <v>5118230390040100</v>
      </c>
      <c r="G87" t="s">
        <v>220</v>
      </c>
      <c r="H87" t="s">
        <v>250</v>
      </c>
      <c r="I87" t="s">
        <v>31</v>
      </c>
      <c r="J87" t="s">
        <v>30</v>
      </c>
      <c r="K87" t="s">
        <v>203</v>
      </c>
      <c r="L87" t="s">
        <v>31</v>
      </c>
      <c r="M87" t="s">
        <v>31</v>
      </c>
      <c r="N87" t="s">
        <v>31</v>
      </c>
      <c r="O87" t="s">
        <v>31</v>
      </c>
      <c r="P87" t="s">
        <v>31</v>
      </c>
      <c r="Q87" t="s">
        <v>31</v>
      </c>
      <c r="R87" t="s">
        <v>31</v>
      </c>
      <c r="S87" t="s">
        <v>31</v>
      </c>
      <c r="T87">
        <v>54</v>
      </c>
      <c r="U87">
        <v>91</v>
      </c>
      <c r="V87" t="s">
        <v>31</v>
      </c>
      <c r="W87" t="s">
        <v>31</v>
      </c>
      <c r="X87" t="s">
        <v>31</v>
      </c>
      <c r="Y87" t="s">
        <v>31</v>
      </c>
      <c r="Z87" t="s">
        <v>31</v>
      </c>
      <c r="AA87">
        <v>0</v>
      </c>
    </row>
    <row r="88" spans="1:27" x14ac:dyDescent="0.25">
      <c r="A88">
        <v>88</v>
      </c>
      <c r="B88" t="s">
        <v>27</v>
      </c>
      <c r="C88">
        <v>553</v>
      </c>
      <c r="D88" t="s">
        <v>53</v>
      </c>
      <c r="E88">
        <v>5118230000113000</v>
      </c>
      <c r="F88">
        <v>5118230000113000</v>
      </c>
      <c r="G88" t="s">
        <v>251</v>
      </c>
      <c r="H88">
        <v>113</v>
      </c>
      <c r="I88">
        <v>6253140113</v>
      </c>
      <c r="J88" t="s">
        <v>30</v>
      </c>
      <c r="K88" t="s">
        <v>252</v>
      </c>
      <c r="L88" t="s">
        <v>31</v>
      </c>
      <c r="M88" t="s">
        <v>31</v>
      </c>
      <c r="N88">
        <v>0</v>
      </c>
      <c r="O88" t="s">
        <v>67</v>
      </c>
      <c r="P88" t="s">
        <v>245</v>
      </c>
      <c r="Q88" t="s">
        <v>47</v>
      </c>
      <c r="R88" t="s">
        <v>31</v>
      </c>
      <c r="S88" t="s">
        <v>31</v>
      </c>
      <c r="T88">
        <v>8</v>
      </c>
      <c r="U88">
        <v>20</v>
      </c>
      <c r="V88" t="s">
        <v>31</v>
      </c>
      <c r="W88" t="s">
        <v>37</v>
      </c>
      <c r="X88" t="s">
        <v>85</v>
      </c>
      <c r="Y88">
        <v>0</v>
      </c>
      <c r="Z88" t="s">
        <v>40</v>
      </c>
      <c r="AA88">
        <v>40</v>
      </c>
    </row>
    <row r="89" spans="1:27" x14ac:dyDescent="0.25">
      <c r="A89">
        <v>89</v>
      </c>
      <c r="B89" t="s">
        <v>27</v>
      </c>
      <c r="C89">
        <v>888</v>
      </c>
      <c r="D89" t="s">
        <v>53</v>
      </c>
      <c r="E89">
        <v>5118230330070100</v>
      </c>
      <c r="F89">
        <v>5118230330070100</v>
      </c>
      <c r="G89" t="s">
        <v>251</v>
      </c>
      <c r="H89" t="s">
        <v>253</v>
      </c>
      <c r="I89" t="s">
        <v>31</v>
      </c>
      <c r="J89" t="s">
        <v>30</v>
      </c>
      <c r="K89" t="s">
        <v>233</v>
      </c>
      <c r="L89" t="s">
        <v>31</v>
      </c>
      <c r="M89" t="s">
        <v>31</v>
      </c>
      <c r="N89" t="s">
        <v>31</v>
      </c>
      <c r="O89" t="s">
        <v>31</v>
      </c>
      <c r="P89" t="s">
        <v>31</v>
      </c>
      <c r="Q89" t="s">
        <v>31</v>
      </c>
      <c r="R89" t="s">
        <v>31</v>
      </c>
      <c r="S89" t="s">
        <v>31</v>
      </c>
      <c r="T89">
        <v>18</v>
      </c>
      <c r="U89">
        <v>30</v>
      </c>
      <c r="V89" t="s">
        <v>31</v>
      </c>
      <c r="W89" t="s">
        <v>31</v>
      </c>
      <c r="X89" t="s">
        <v>31</v>
      </c>
      <c r="Y89" t="s">
        <v>31</v>
      </c>
      <c r="Z89" t="s">
        <v>31</v>
      </c>
      <c r="AA89">
        <v>0</v>
      </c>
    </row>
    <row r="90" spans="1:27" x14ac:dyDescent="0.25">
      <c r="A90">
        <v>90</v>
      </c>
      <c r="B90" t="s">
        <v>27</v>
      </c>
      <c r="C90">
        <v>867</v>
      </c>
      <c r="D90" t="s">
        <v>53</v>
      </c>
      <c r="E90">
        <v>5118230310020100</v>
      </c>
      <c r="F90">
        <v>5118230310020100</v>
      </c>
      <c r="G90" t="s">
        <v>254</v>
      </c>
      <c r="H90" t="s">
        <v>255</v>
      </c>
      <c r="I90" t="s">
        <v>31</v>
      </c>
      <c r="J90" t="s">
        <v>30</v>
      </c>
      <c r="K90" t="s">
        <v>256</v>
      </c>
      <c r="L90" t="s">
        <v>31</v>
      </c>
      <c r="M90" t="s">
        <v>31</v>
      </c>
      <c r="N90" t="s">
        <v>31</v>
      </c>
      <c r="O90" t="s">
        <v>31</v>
      </c>
      <c r="P90" t="s">
        <v>31</v>
      </c>
      <c r="Q90" t="s">
        <v>31</v>
      </c>
      <c r="R90" t="s">
        <v>31</v>
      </c>
      <c r="S90" t="s">
        <v>31</v>
      </c>
      <c r="T90">
        <v>6</v>
      </c>
      <c r="U90">
        <v>10</v>
      </c>
      <c r="V90" t="s">
        <v>31</v>
      </c>
      <c r="W90" t="s">
        <v>31</v>
      </c>
      <c r="X90" t="s">
        <v>31</v>
      </c>
      <c r="Y90" t="s">
        <v>31</v>
      </c>
      <c r="Z90" t="s">
        <v>31</v>
      </c>
      <c r="AA90">
        <v>0</v>
      </c>
    </row>
    <row r="91" spans="1:27" x14ac:dyDescent="0.25">
      <c r="A91">
        <v>91</v>
      </c>
      <c r="B91" t="s">
        <v>27</v>
      </c>
      <c r="C91">
        <v>533</v>
      </c>
      <c r="D91" t="s">
        <v>53</v>
      </c>
      <c r="E91">
        <v>5118230000092000</v>
      </c>
      <c r="F91">
        <v>5118230000092000</v>
      </c>
      <c r="G91" t="s">
        <v>254</v>
      </c>
      <c r="H91">
        <v>92</v>
      </c>
      <c r="I91">
        <v>6253100092</v>
      </c>
      <c r="J91" t="s">
        <v>30</v>
      </c>
      <c r="K91" t="s">
        <v>257</v>
      </c>
      <c r="L91" t="s">
        <v>31</v>
      </c>
      <c r="M91" t="s">
        <v>31</v>
      </c>
      <c r="N91">
        <v>0</v>
      </c>
      <c r="O91" t="s">
        <v>67</v>
      </c>
      <c r="P91" t="s">
        <v>81</v>
      </c>
      <c r="Q91" t="s">
        <v>47</v>
      </c>
      <c r="R91" t="s">
        <v>31</v>
      </c>
      <c r="S91" t="s">
        <v>31</v>
      </c>
      <c r="T91">
        <v>6</v>
      </c>
      <c r="U91">
        <v>5</v>
      </c>
      <c r="V91" t="s">
        <v>31</v>
      </c>
      <c r="W91" t="s">
        <v>37</v>
      </c>
      <c r="X91" t="s">
        <v>115</v>
      </c>
      <c r="Y91">
        <v>0</v>
      </c>
      <c r="Z91" t="s">
        <v>40</v>
      </c>
      <c r="AA91">
        <v>3</v>
      </c>
    </row>
    <row r="92" spans="1:27" x14ac:dyDescent="0.25">
      <c r="A92">
        <v>92</v>
      </c>
      <c r="B92" t="s">
        <v>27</v>
      </c>
      <c r="C92">
        <v>522</v>
      </c>
      <c r="D92" t="s">
        <v>53</v>
      </c>
      <c r="E92">
        <v>5118230000081000</v>
      </c>
      <c r="F92">
        <v>5118230000081000</v>
      </c>
      <c r="G92" t="s">
        <v>258</v>
      </c>
      <c r="H92">
        <v>81</v>
      </c>
      <c r="I92">
        <v>6253100081</v>
      </c>
      <c r="J92" t="s">
        <v>30</v>
      </c>
      <c r="K92" t="s">
        <v>259</v>
      </c>
      <c r="L92" t="s">
        <v>31</v>
      </c>
      <c r="M92" t="s">
        <v>31</v>
      </c>
      <c r="N92">
        <v>0</v>
      </c>
      <c r="O92" t="s">
        <v>67</v>
      </c>
      <c r="P92" t="s">
        <v>118</v>
      </c>
      <c r="Q92" t="s">
        <v>47</v>
      </c>
      <c r="R92" t="s">
        <v>31</v>
      </c>
      <c r="S92" t="s">
        <v>31</v>
      </c>
      <c r="T92">
        <v>25</v>
      </c>
      <c r="U92">
        <v>60</v>
      </c>
      <c r="V92" t="s">
        <v>31</v>
      </c>
      <c r="W92" t="s">
        <v>52</v>
      </c>
      <c r="X92" t="s">
        <v>39</v>
      </c>
      <c r="Y92">
        <v>0</v>
      </c>
      <c r="Z92" t="s">
        <v>40</v>
      </c>
      <c r="AA92">
        <v>0</v>
      </c>
    </row>
    <row r="93" spans="1:27" x14ac:dyDescent="0.25">
      <c r="A93">
        <v>93</v>
      </c>
      <c r="B93" t="s">
        <v>27</v>
      </c>
      <c r="C93">
        <v>548</v>
      </c>
      <c r="D93" t="s">
        <v>53</v>
      </c>
      <c r="E93">
        <v>5118230000108000</v>
      </c>
      <c r="F93">
        <v>5118230000108000</v>
      </c>
      <c r="G93" t="s">
        <v>260</v>
      </c>
      <c r="H93">
        <v>108</v>
      </c>
      <c r="I93">
        <v>6253140108</v>
      </c>
      <c r="J93" t="s">
        <v>30</v>
      </c>
      <c r="K93" t="s">
        <v>213</v>
      </c>
      <c r="L93" t="s">
        <v>31</v>
      </c>
      <c r="M93" t="s">
        <v>31</v>
      </c>
      <c r="N93">
        <v>0</v>
      </c>
      <c r="O93" t="s">
        <v>67</v>
      </c>
      <c r="P93" t="s">
        <v>60</v>
      </c>
      <c r="Q93" t="s">
        <v>47</v>
      </c>
      <c r="R93" t="s">
        <v>31</v>
      </c>
      <c r="S93" t="s">
        <v>31</v>
      </c>
      <c r="T93">
        <v>9</v>
      </c>
      <c r="U93">
        <v>20</v>
      </c>
      <c r="V93" t="s">
        <v>31</v>
      </c>
      <c r="W93" t="s">
        <v>37</v>
      </c>
      <c r="X93" t="s">
        <v>39</v>
      </c>
      <c r="Y93">
        <v>0</v>
      </c>
      <c r="Z93" t="s">
        <v>40</v>
      </c>
      <c r="AA93">
        <v>0</v>
      </c>
    </row>
    <row r="94" spans="1:27" x14ac:dyDescent="0.25">
      <c r="A94">
        <v>94</v>
      </c>
      <c r="B94" t="s">
        <v>27</v>
      </c>
      <c r="C94">
        <v>866</v>
      </c>
      <c r="D94" t="s">
        <v>53</v>
      </c>
      <c r="E94">
        <v>5118230310010100</v>
      </c>
      <c r="F94">
        <v>5118230310010100</v>
      </c>
      <c r="G94" t="s">
        <v>261</v>
      </c>
      <c r="H94" t="s">
        <v>262</v>
      </c>
      <c r="I94" t="s">
        <v>31</v>
      </c>
      <c r="J94" t="s">
        <v>30</v>
      </c>
      <c r="K94" t="s">
        <v>198</v>
      </c>
      <c r="L94" t="s">
        <v>31</v>
      </c>
      <c r="M94" t="s">
        <v>31</v>
      </c>
      <c r="N94" t="s">
        <v>31</v>
      </c>
      <c r="O94" t="s">
        <v>31</v>
      </c>
      <c r="P94" t="s">
        <v>31</v>
      </c>
      <c r="Q94" t="s">
        <v>31</v>
      </c>
      <c r="R94" t="s">
        <v>31</v>
      </c>
      <c r="S94" t="s">
        <v>31</v>
      </c>
      <c r="T94">
        <v>25</v>
      </c>
      <c r="U94">
        <v>71</v>
      </c>
      <c r="V94" t="s">
        <v>31</v>
      </c>
      <c r="W94" t="s">
        <v>31</v>
      </c>
      <c r="X94" t="s">
        <v>31</v>
      </c>
      <c r="Y94" t="s">
        <v>31</v>
      </c>
      <c r="Z94" t="s">
        <v>31</v>
      </c>
      <c r="AA94">
        <v>0</v>
      </c>
    </row>
    <row r="95" spans="1:27" x14ac:dyDescent="0.25">
      <c r="A95">
        <v>95</v>
      </c>
      <c r="B95" t="s">
        <v>27</v>
      </c>
      <c r="C95">
        <v>943</v>
      </c>
      <c r="D95" t="s">
        <v>53</v>
      </c>
      <c r="E95">
        <v>5118232230010100</v>
      </c>
      <c r="F95">
        <v>5118232230010100</v>
      </c>
      <c r="G95" t="s">
        <v>261</v>
      </c>
      <c r="H95" t="s">
        <v>262</v>
      </c>
      <c r="I95" t="s">
        <v>31</v>
      </c>
      <c r="J95" t="s">
        <v>30</v>
      </c>
      <c r="K95" t="s">
        <v>198</v>
      </c>
      <c r="L95" t="s">
        <v>31</v>
      </c>
      <c r="M95" t="s">
        <v>31</v>
      </c>
      <c r="N95" t="s">
        <v>31</v>
      </c>
      <c r="O95" t="s">
        <v>31</v>
      </c>
      <c r="P95" t="s">
        <v>31</v>
      </c>
      <c r="Q95" t="s">
        <v>31</v>
      </c>
      <c r="R95" t="s">
        <v>31</v>
      </c>
      <c r="S95" t="s">
        <v>31</v>
      </c>
      <c r="T95">
        <v>25</v>
      </c>
      <c r="U95">
        <v>71</v>
      </c>
      <c r="V95" t="s">
        <v>31</v>
      </c>
      <c r="W95" t="s">
        <v>31</v>
      </c>
      <c r="X95" t="s">
        <v>31</v>
      </c>
      <c r="Y95" t="s">
        <v>31</v>
      </c>
      <c r="Z95" t="s">
        <v>31</v>
      </c>
      <c r="AA95">
        <v>0</v>
      </c>
    </row>
    <row r="96" spans="1:27" x14ac:dyDescent="0.25">
      <c r="A96">
        <v>96</v>
      </c>
      <c r="B96" t="s">
        <v>27</v>
      </c>
      <c r="C96">
        <v>873</v>
      </c>
      <c r="D96" t="s">
        <v>53</v>
      </c>
      <c r="E96">
        <v>5118230310080100</v>
      </c>
      <c r="F96">
        <v>5118230310080100</v>
      </c>
      <c r="G96" t="s">
        <v>263</v>
      </c>
      <c r="H96" t="s">
        <v>264</v>
      </c>
      <c r="I96" t="s">
        <v>31</v>
      </c>
      <c r="J96" t="s">
        <v>30</v>
      </c>
      <c r="K96" t="s">
        <v>265</v>
      </c>
      <c r="L96" t="s">
        <v>31</v>
      </c>
      <c r="M96" t="s">
        <v>31</v>
      </c>
      <c r="N96" t="s">
        <v>31</v>
      </c>
      <c r="O96" t="s">
        <v>31</v>
      </c>
      <c r="P96" t="s">
        <v>31</v>
      </c>
      <c r="Q96" t="s">
        <v>31</v>
      </c>
      <c r="R96" t="s">
        <v>31</v>
      </c>
      <c r="S96" t="s">
        <v>31</v>
      </c>
      <c r="T96">
        <v>28</v>
      </c>
      <c r="U96">
        <v>41</v>
      </c>
      <c r="V96" t="s">
        <v>31</v>
      </c>
      <c r="W96" t="s">
        <v>31</v>
      </c>
      <c r="X96" t="s">
        <v>31</v>
      </c>
      <c r="Y96" t="s">
        <v>31</v>
      </c>
      <c r="Z96" t="s">
        <v>31</v>
      </c>
      <c r="AA96">
        <v>0</v>
      </c>
    </row>
    <row r="97" spans="1:27" x14ac:dyDescent="0.25">
      <c r="A97">
        <v>97</v>
      </c>
      <c r="B97" t="s">
        <v>27</v>
      </c>
      <c r="C97">
        <v>521</v>
      </c>
      <c r="D97" t="s">
        <v>53</v>
      </c>
      <c r="E97">
        <v>5118230000080000</v>
      </c>
      <c r="F97">
        <v>5118230000080000</v>
      </c>
      <c r="G97" t="s">
        <v>266</v>
      </c>
      <c r="H97">
        <v>80</v>
      </c>
      <c r="I97">
        <v>6253100080</v>
      </c>
      <c r="J97" t="s">
        <v>30</v>
      </c>
      <c r="K97" t="s">
        <v>267</v>
      </c>
      <c r="L97" t="s">
        <v>31</v>
      </c>
      <c r="M97" t="s">
        <v>31</v>
      </c>
      <c r="N97">
        <v>0</v>
      </c>
      <c r="O97" t="s">
        <v>67</v>
      </c>
      <c r="P97" t="s">
        <v>155</v>
      </c>
      <c r="Q97" t="s">
        <v>47</v>
      </c>
      <c r="R97" t="s">
        <v>61</v>
      </c>
      <c r="S97" t="s">
        <v>61</v>
      </c>
      <c r="T97">
        <v>21</v>
      </c>
      <c r="U97">
        <v>20</v>
      </c>
      <c r="V97" t="s">
        <v>52</v>
      </c>
      <c r="W97" t="s">
        <v>52</v>
      </c>
      <c r="X97" t="s">
        <v>99</v>
      </c>
      <c r="Y97">
        <v>0</v>
      </c>
      <c r="Z97" t="s">
        <v>40</v>
      </c>
      <c r="AA97">
        <v>5</v>
      </c>
    </row>
    <row r="98" spans="1:27" x14ac:dyDescent="0.25">
      <c r="A98">
        <v>98</v>
      </c>
      <c r="B98" t="s">
        <v>27</v>
      </c>
      <c r="C98">
        <v>565</v>
      </c>
      <c r="D98" t="s">
        <v>53</v>
      </c>
      <c r="E98">
        <v>5118230000125000</v>
      </c>
      <c r="F98">
        <v>5118230000125000</v>
      </c>
      <c r="G98" t="s">
        <v>268</v>
      </c>
      <c r="H98">
        <v>125</v>
      </c>
      <c r="I98">
        <v>6253380125</v>
      </c>
      <c r="J98" t="s">
        <v>30</v>
      </c>
      <c r="K98" t="s">
        <v>269</v>
      </c>
      <c r="L98" t="s">
        <v>31</v>
      </c>
      <c r="M98" t="s">
        <v>31</v>
      </c>
      <c r="N98">
        <v>0</v>
      </c>
      <c r="O98" t="s">
        <v>59</v>
      </c>
      <c r="P98" t="s">
        <v>105</v>
      </c>
      <c r="Q98" t="s">
        <v>47</v>
      </c>
      <c r="R98" t="s">
        <v>61</v>
      </c>
      <c r="S98" t="s">
        <v>61</v>
      </c>
      <c r="T98">
        <v>8</v>
      </c>
      <c r="U98">
        <v>1</v>
      </c>
      <c r="V98" t="s">
        <v>31</v>
      </c>
      <c r="W98" t="s">
        <v>37</v>
      </c>
      <c r="X98" t="s">
        <v>39</v>
      </c>
      <c r="Y98">
        <v>0</v>
      </c>
      <c r="Z98" t="s">
        <v>40</v>
      </c>
      <c r="AA98">
        <v>5</v>
      </c>
    </row>
    <row r="99" spans="1:27" x14ac:dyDescent="0.25">
      <c r="A99">
        <v>99</v>
      </c>
      <c r="B99" t="s">
        <v>27</v>
      </c>
      <c r="C99">
        <v>567</v>
      </c>
      <c r="D99" t="s">
        <v>41</v>
      </c>
      <c r="E99">
        <v>5118230000127000</v>
      </c>
      <c r="F99">
        <v>5118230000127000</v>
      </c>
      <c r="G99" t="s">
        <v>270</v>
      </c>
      <c r="H99">
        <v>127</v>
      </c>
      <c r="I99">
        <v>6253380127</v>
      </c>
      <c r="J99" t="s">
        <v>30</v>
      </c>
      <c r="K99" t="s">
        <v>112</v>
      </c>
      <c r="L99" t="s">
        <v>31</v>
      </c>
      <c r="M99" t="s">
        <v>31</v>
      </c>
      <c r="N99">
        <v>0</v>
      </c>
      <c r="O99" t="s">
        <v>31</v>
      </c>
      <c r="P99" t="s">
        <v>31</v>
      </c>
      <c r="Q99" t="s">
        <v>31</v>
      </c>
      <c r="R99" t="s">
        <v>31</v>
      </c>
      <c r="S99" t="s">
        <v>31</v>
      </c>
      <c r="T99">
        <v>0</v>
      </c>
      <c r="U99">
        <v>1</v>
      </c>
      <c r="V99" t="s">
        <v>31</v>
      </c>
      <c r="W99" t="s">
        <v>37</v>
      </c>
      <c r="X99" t="s">
        <v>31</v>
      </c>
      <c r="Y99">
        <v>0</v>
      </c>
      <c r="Z99" t="s">
        <v>49</v>
      </c>
      <c r="AA99">
        <v>0</v>
      </c>
    </row>
    <row r="100" spans="1:27" x14ac:dyDescent="0.25">
      <c r="A100">
        <v>100</v>
      </c>
      <c r="B100" t="s">
        <v>27</v>
      </c>
      <c r="C100">
        <v>874</v>
      </c>
      <c r="D100" t="s">
        <v>53</v>
      </c>
      <c r="E100">
        <v>5118230310100100</v>
      </c>
      <c r="F100">
        <v>5118230310100100</v>
      </c>
      <c r="G100" t="s">
        <v>271</v>
      </c>
      <c r="H100">
        <v>2014</v>
      </c>
      <c r="I100" t="s">
        <v>31</v>
      </c>
      <c r="J100" t="s">
        <v>30</v>
      </c>
      <c r="K100" t="s">
        <v>272</v>
      </c>
      <c r="L100" t="s">
        <v>31</v>
      </c>
      <c r="M100" t="s">
        <v>31</v>
      </c>
      <c r="N100" t="s">
        <v>31</v>
      </c>
      <c r="O100" t="s">
        <v>31</v>
      </c>
      <c r="P100" t="s">
        <v>31</v>
      </c>
      <c r="Q100" t="s">
        <v>31</v>
      </c>
      <c r="R100" t="s">
        <v>31</v>
      </c>
      <c r="S100" t="s">
        <v>31</v>
      </c>
      <c r="T100">
        <v>0</v>
      </c>
      <c r="U100">
        <v>0</v>
      </c>
      <c r="V100" t="s">
        <v>31</v>
      </c>
      <c r="W100" t="s">
        <v>31</v>
      </c>
      <c r="X100" t="s">
        <v>31</v>
      </c>
      <c r="Y100" t="s">
        <v>31</v>
      </c>
      <c r="Z100" t="s">
        <v>31</v>
      </c>
      <c r="AA100">
        <v>0</v>
      </c>
    </row>
    <row r="101" spans="1:27" x14ac:dyDescent="0.25">
      <c r="A101">
        <v>101</v>
      </c>
      <c r="B101" t="s">
        <v>27</v>
      </c>
      <c r="C101">
        <v>519</v>
      </c>
      <c r="D101" t="s">
        <v>28</v>
      </c>
      <c r="E101">
        <v>5118230000078000</v>
      </c>
      <c r="F101">
        <v>5118230000078000</v>
      </c>
      <c r="G101" t="s">
        <v>273</v>
      </c>
      <c r="H101">
        <v>78</v>
      </c>
      <c r="I101">
        <v>6253090078</v>
      </c>
      <c r="J101" t="s">
        <v>30</v>
      </c>
      <c r="K101" t="s">
        <v>274</v>
      </c>
      <c r="L101" t="s">
        <v>31</v>
      </c>
      <c r="M101" t="s">
        <v>31</v>
      </c>
      <c r="N101">
        <v>0</v>
      </c>
      <c r="O101" t="s">
        <v>59</v>
      </c>
      <c r="P101" t="s">
        <v>31</v>
      </c>
      <c r="Q101" t="s">
        <v>47</v>
      </c>
      <c r="R101" t="s">
        <v>73</v>
      </c>
      <c r="S101" t="s">
        <v>73</v>
      </c>
      <c r="T101">
        <v>41</v>
      </c>
      <c r="U101">
        <v>230</v>
      </c>
      <c r="V101" t="s">
        <v>37</v>
      </c>
      <c r="W101" t="s">
        <v>52</v>
      </c>
      <c r="X101" t="s">
        <v>115</v>
      </c>
      <c r="Y101">
        <v>0</v>
      </c>
      <c r="Z101" t="s">
        <v>40</v>
      </c>
      <c r="AA101">
        <v>0</v>
      </c>
    </row>
    <row r="102" spans="1:27" x14ac:dyDescent="0.25">
      <c r="A102">
        <v>102</v>
      </c>
      <c r="B102" t="s">
        <v>27</v>
      </c>
      <c r="C102">
        <v>556</v>
      </c>
      <c r="D102" t="s">
        <v>53</v>
      </c>
      <c r="E102">
        <v>5118230000116000</v>
      </c>
      <c r="F102">
        <v>5118230000116000</v>
      </c>
      <c r="G102" t="s">
        <v>275</v>
      </c>
      <c r="H102">
        <v>116</v>
      </c>
      <c r="I102">
        <v>6253140116</v>
      </c>
      <c r="J102" t="s">
        <v>30</v>
      </c>
      <c r="K102" t="s">
        <v>252</v>
      </c>
      <c r="L102" t="s">
        <v>31</v>
      </c>
      <c r="M102" t="s">
        <v>31</v>
      </c>
      <c r="N102">
        <v>0</v>
      </c>
      <c r="O102" t="s">
        <v>59</v>
      </c>
      <c r="P102" t="s">
        <v>60</v>
      </c>
      <c r="Q102" t="s">
        <v>31</v>
      </c>
      <c r="R102" t="s">
        <v>61</v>
      </c>
      <c r="S102" t="s">
        <v>61</v>
      </c>
      <c r="T102">
        <v>16</v>
      </c>
      <c r="U102">
        <v>40</v>
      </c>
      <c r="V102" t="s">
        <v>31</v>
      </c>
      <c r="W102" t="s">
        <v>52</v>
      </c>
      <c r="X102" t="s">
        <v>39</v>
      </c>
      <c r="Y102">
        <v>0</v>
      </c>
      <c r="Z102" t="s">
        <v>40</v>
      </c>
      <c r="AA102">
        <v>0</v>
      </c>
    </row>
    <row r="103" spans="1:27" x14ac:dyDescent="0.25">
      <c r="A103">
        <v>103</v>
      </c>
      <c r="B103" t="s">
        <v>27</v>
      </c>
      <c r="C103">
        <v>889</v>
      </c>
      <c r="D103" t="s">
        <v>53</v>
      </c>
      <c r="E103">
        <v>5118230330080100</v>
      </c>
      <c r="F103">
        <v>5118230330080100</v>
      </c>
      <c r="G103" t="s">
        <v>276</v>
      </c>
      <c r="H103" t="s">
        <v>277</v>
      </c>
      <c r="I103" t="s">
        <v>31</v>
      </c>
      <c r="J103" t="s">
        <v>30</v>
      </c>
      <c r="K103" t="s">
        <v>233</v>
      </c>
      <c r="L103" t="s">
        <v>31</v>
      </c>
      <c r="M103" t="s">
        <v>31</v>
      </c>
      <c r="N103" t="s">
        <v>31</v>
      </c>
      <c r="O103" t="s">
        <v>31</v>
      </c>
      <c r="P103" t="s">
        <v>31</v>
      </c>
      <c r="Q103" t="s">
        <v>31</v>
      </c>
      <c r="R103" t="s">
        <v>31</v>
      </c>
      <c r="S103" t="s">
        <v>31</v>
      </c>
      <c r="T103">
        <v>16</v>
      </c>
      <c r="U103">
        <v>20</v>
      </c>
      <c r="V103" t="s">
        <v>31</v>
      </c>
      <c r="W103" t="s">
        <v>31</v>
      </c>
      <c r="X103" t="s">
        <v>31</v>
      </c>
      <c r="Y103" t="s">
        <v>31</v>
      </c>
      <c r="Z103" t="s">
        <v>31</v>
      </c>
      <c r="AA103">
        <v>0</v>
      </c>
    </row>
    <row r="104" spans="1:27" x14ac:dyDescent="0.25">
      <c r="A104">
        <v>104</v>
      </c>
      <c r="B104" t="s">
        <v>27</v>
      </c>
      <c r="C104">
        <v>914</v>
      </c>
      <c r="D104" t="s">
        <v>53</v>
      </c>
      <c r="E104">
        <v>5118230410010100</v>
      </c>
      <c r="F104">
        <v>5118230410010100</v>
      </c>
      <c r="G104" t="s">
        <v>278</v>
      </c>
      <c r="H104" t="s">
        <v>279</v>
      </c>
      <c r="I104" t="s">
        <v>31</v>
      </c>
      <c r="J104" t="s">
        <v>30</v>
      </c>
      <c r="K104" t="s">
        <v>280</v>
      </c>
      <c r="L104" t="s">
        <v>31</v>
      </c>
      <c r="M104" t="s">
        <v>31</v>
      </c>
      <c r="N104" t="s">
        <v>31</v>
      </c>
      <c r="O104" t="s">
        <v>31</v>
      </c>
      <c r="P104" t="s">
        <v>31</v>
      </c>
      <c r="Q104" t="s">
        <v>31</v>
      </c>
      <c r="R104" t="s">
        <v>31</v>
      </c>
      <c r="S104" t="s">
        <v>31</v>
      </c>
      <c r="T104">
        <v>35</v>
      </c>
      <c r="U104">
        <v>47</v>
      </c>
      <c r="V104" t="s">
        <v>31</v>
      </c>
      <c r="W104" t="s">
        <v>31</v>
      </c>
      <c r="X104" t="s">
        <v>31</v>
      </c>
      <c r="Y104" t="s">
        <v>31</v>
      </c>
      <c r="Z104" t="s">
        <v>31</v>
      </c>
      <c r="AA104">
        <v>0</v>
      </c>
    </row>
    <row r="105" spans="1:27" x14ac:dyDescent="0.25">
      <c r="A105">
        <v>105</v>
      </c>
      <c r="B105" t="s">
        <v>27</v>
      </c>
      <c r="C105">
        <v>900</v>
      </c>
      <c r="D105" t="s">
        <v>53</v>
      </c>
      <c r="E105">
        <v>5118230350060100</v>
      </c>
      <c r="F105">
        <v>5118230350060100</v>
      </c>
      <c r="G105" t="s">
        <v>281</v>
      </c>
      <c r="H105" t="s">
        <v>282</v>
      </c>
      <c r="I105" t="s">
        <v>31</v>
      </c>
      <c r="J105" t="s">
        <v>30</v>
      </c>
      <c r="K105" t="s">
        <v>218</v>
      </c>
      <c r="L105" t="s">
        <v>31</v>
      </c>
      <c r="M105" t="s">
        <v>31</v>
      </c>
      <c r="N105" t="s">
        <v>31</v>
      </c>
      <c r="O105" t="s">
        <v>31</v>
      </c>
      <c r="P105" t="s">
        <v>31</v>
      </c>
      <c r="Q105" t="s">
        <v>31</v>
      </c>
      <c r="R105" t="s">
        <v>31</v>
      </c>
      <c r="S105" t="s">
        <v>31</v>
      </c>
      <c r="T105">
        <v>50</v>
      </c>
      <c r="U105">
        <v>82</v>
      </c>
      <c r="V105" t="s">
        <v>31</v>
      </c>
      <c r="W105" t="s">
        <v>31</v>
      </c>
      <c r="X105" t="s">
        <v>31</v>
      </c>
      <c r="Y105" t="s">
        <v>31</v>
      </c>
      <c r="Z105" t="s">
        <v>31</v>
      </c>
      <c r="AA105">
        <v>0</v>
      </c>
    </row>
    <row r="106" spans="1:27" x14ac:dyDescent="0.25">
      <c r="A106">
        <v>106</v>
      </c>
      <c r="B106" t="s">
        <v>27</v>
      </c>
      <c r="C106">
        <v>905</v>
      </c>
      <c r="D106" t="s">
        <v>53</v>
      </c>
      <c r="E106">
        <v>5118230390000100</v>
      </c>
      <c r="F106">
        <v>5118230390000100</v>
      </c>
      <c r="G106" t="s">
        <v>283</v>
      </c>
      <c r="H106" t="s">
        <v>284</v>
      </c>
      <c r="I106" t="s">
        <v>31</v>
      </c>
      <c r="J106" t="s">
        <v>30</v>
      </c>
      <c r="K106" t="s">
        <v>285</v>
      </c>
      <c r="L106" t="s">
        <v>31</v>
      </c>
      <c r="M106" t="s">
        <v>31</v>
      </c>
      <c r="N106" t="s">
        <v>31</v>
      </c>
      <c r="O106" t="s">
        <v>31</v>
      </c>
      <c r="P106" t="s">
        <v>31</v>
      </c>
      <c r="Q106" t="s">
        <v>31</v>
      </c>
      <c r="R106" t="s">
        <v>31</v>
      </c>
      <c r="S106" t="s">
        <v>31</v>
      </c>
      <c r="T106">
        <v>15</v>
      </c>
      <c r="U106">
        <v>18</v>
      </c>
      <c r="V106" t="s">
        <v>31</v>
      </c>
      <c r="W106" t="s">
        <v>31</v>
      </c>
      <c r="X106" t="s">
        <v>31</v>
      </c>
      <c r="Y106" t="s">
        <v>31</v>
      </c>
      <c r="Z106" t="s">
        <v>31</v>
      </c>
      <c r="AA106">
        <v>0</v>
      </c>
    </row>
    <row r="107" spans="1:27" x14ac:dyDescent="0.25">
      <c r="A107">
        <v>107</v>
      </c>
      <c r="B107" t="s">
        <v>27</v>
      </c>
      <c r="C107">
        <v>886</v>
      </c>
      <c r="D107" t="s">
        <v>53</v>
      </c>
      <c r="E107">
        <v>5118230330050100</v>
      </c>
      <c r="F107">
        <v>5118230330050100</v>
      </c>
      <c r="G107" t="s">
        <v>286</v>
      </c>
      <c r="H107" t="s">
        <v>287</v>
      </c>
      <c r="I107" t="s">
        <v>31</v>
      </c>
      <c r="J107" t="s">
        <v>30</v>
      </c>
      <c r="K107" t="s">
        <v>233</v>
      </c>
      <c r="L107" t="s">
        <v>31</v>
      </c>
      <c r="M107" t="s">
        <v>31</v>
      </c>
      <c r="N107" t="s">
        <v>31</v>
      </c>
      <c r="O107" t="s">
        <v>31</v>
      </c>
      <c r="P107" t="s">
        <v>31</v>
      </c>
      <c r="Q107" t="s">
        <v>31</v>
      </c>
      <c r="R107" t="s">
        <v>31</v>
      </c>
      <c r="S107" t="s">
        <v>31</v>
      </c>
      <c r="T107">
        <v>32</v>
      </c>
      <c r="U107">
        <v>70</v>
      </c>
      <c r="V107" t="s">
        <v>31</v>
      </c>
      <c r="W107" t="s">
        <v>31</v>
      </c>
      <c r="X107" t="s">
        <v>31</v>
      </c>
      <c r="Y107" t="s">
        <v>31</v>
      </c>
      <c r="Z107" t="s">
        <v>31</v>
      </c>
      <c r="AA107">
        <v>0</v>
      </c>
    </row>
    <row r="108" spans="1:27" x14ac:dyDescent="0.25">
      <c r="A108">
        <v>108</v>
      </c>
      <c r="B108" t="s">
        <v>27</v>
      </c>
      <c r="C108">
        <v>530</v>
      </c>
      <c r="D108" t="s">
        <v>53</v>
      </c>
      <c r="E108">
        <v>5118230000089000</v>
      </c>
      <c r="F108">
        <v>5118230000089000</v>
      </c>
      <c r="G108" t="s">
        <v>288</v>
      </c>
      <c r="H108">
        <v>89</v>
      </c>
      <c r="I108">
        <v>6253100089</v>
      </c>
      <c r="J108" t="s">
        <v>30</v>
      </c>
      <c r="K108" t="s">
        <v>289</v>
      </c>
      <c r="L108" t="s">
        <v>31</v>
      </c>
      <c r="M108" t="s">
        <v>31</v>
      </c>
      <c r="N108">
        <v>0</v>
      </c>
      <c r="O108" t="s">
        <v>59</v>
      </c>
      <c r="P108" t="s">
        <v>81</v>
      </c>
      <c r="Q108" t="s">
        <v>47</v>
      </c>
      <c r="R108" t="s">
        <v>61</v>
      </c>
      <c r="S108" t="s">
        <v>61</v>
      </c>
      <c r="T108">
        <v>77</v>
      </c>
      <c r="U108">
        <v>20</v>
      </c>
      <c r="V108" t="s">
        <v>31</v>
      </c>
      <c r="W108" t="s">
        <v>52</v>
      </c>
      <c r="X108" t="s">
        <v>85</v>
      </c>
      <c r="Y108">
        <v>0</v>
      </c>
      <c r="Z108" t="s">
        <v>166</v>
      </c>
      <c r="AA108">
        <v>0</v>
      </c>
    </row>
    <row r="109" spans="1:27" x14ac:dyDescent="0.25">
      <c r="A109">
        <v>109</v>
      </c>
      <c r="B109" t="s">
        <v>27</v>
      </c>
      <c r="C109">
        <v>555</v>
      </c>
      <c r="D109" t="s">
        <v>53</v>
      </c>
      <c r="E109">
        <v>5118230000115000</v>
      </c>
      <c r="F109">
        <v>5118230000115000</v>
      </c>
      <c r="G109" t="s">
        <v>290</v>
      </c>
      <c r="H109">
        <v>115</v>
      </c>
      <c r="I109">
        <v>6253140115</v>
      </c>
      <c r="J109" t="s">
        <v>30</v>
      </c>
      <c r="K109" t="s">
        <v>291</v>
      </c>
      <c r="L109" t="s">
        <v>31</v>
      </c>
      <c r="M109" t="s">
        <v>31</v>
      </c>
      <c r="N109">
        <v>0</v>
      </c>
      <c r="O109" t="s">
        <v>59</v>
      </c>
      <c r="P109" t="s">
        <v>60</v>
      </c>
      <c r="Q109" t="s">
        <v>31</v>
      </c>
      <c r="R109" t="s">
        <v>61</v>
      </c>
      <c r="S109" t="s">
        <v>61</v>
      </c>
      <c r="T109">
        <v>80</v>
      </c>
      <c r="U109">
        <v>200</v>
      </c>
      <c r="V109" t="s">
        <v>37</v>
      </c>
      <c r="W109" t="s">
        <v>52</v>
      </c>
      <c r="X109" t="s">
        <v>39</v>
      </c>
      <c r="Y109">
        <v>0</v>
      </c>
      <c r="Z109" t="s">
        <v>40</v>
      </c>
      <c r="AA109">
        <v>0</v>
      </c>
    </row>
    <row r="110" spans="1:27" x14ac:dyDescent="0.25">
      <c r="A110">
        <v>110</v>
      </c>
      <c r="B110" t="s">
        <v>27</v>
      </c>
      <c r="C110">
        <v>743</v>
      </c>
      <c r="D110" t="s">
        <v>41</v>
      </c>
      <c r="E110">
        <v>5118230090010100</v>
      </c>
      <c r="F110">
        <v>5118230090010100</v>
      </c>
      <c r="G110" t="s">
        <v>292</v>
      </c>
      <c r="H110" t="s">
        <v>293</v>
      </c>
      <c r="I110" t="s">
        <v>31</v>
      </c>
      <c r="J110" t="s">
        <v>30</v>
      </c>
      <c r="K110" t="s">
        <v>142</v>
      </c>
      <c r="L110" t="s">
        <v>31</v>
      </c>
      <c r="M110" t="s">
        <v>31</v>
      </c>
      <c r="N110" t="s">
        <v>31</v>
      </c>
      <c r="O110" t="s">
        <v>31</v>
      </c>
      <c r="P110" t="s">
        <v>31</v>
      </c>
      <c r="Q110" t="s">
        <v>31</v>
      </c>
      <c r="R110" t="s">
        <v>31</v>
      </c>
      <c r="S110" t="s">
        <v>31</v>
      </c>
      <c r="T110">
        <v>0</v>
      </c>
      <c r="U110">
        <v>0</v>
      </c>
      <c r="V110" t="s">
        <v>31</v>
      </c>
      <c r="W110" t="s">
        <v>31</v>
      </c>
      <c r="X110" t="s">
        <v>31</v>
      </c>
      <c r="Y110" t="s">
        <v>31</v>
      </c>
      <c r="Z110" t="s">
        <v>31</v>
      </c>
      <c r="AA110">
        <v>0</v>
      </c>
    </row>
    <row r="111" spans="1:27" x14ac:dyDescent="0.25">
      <c r="A111">
        <v>111</v>
      </c>
      <c r="B111" t="s">
        <v>27</v>
      </c>
      <c r="C111">
        <v>869</v>
      </c>
      <c r="D111" t="s">
        <v>53</v>
      </c>
      <c r="E111">
        <v>5118230310040100</v>
      </c>
      <c r="F111">
        <v>5118230310040100</v>
      </c>
      <c r="G111" t="s">
        <v>294</v>
      </c>
      <c r="H111" t="s">
        <v>295</v>
      </c>
      <c r="I111" t="s">
        <v>31</v>
      </c>
      <c r="J111" t="s">
        <v>30</v>
      </c>
      <c r="K111" t="s">
        <v>296</v>
      </c>
      <c r="L111" t="s">
        <v>31</v>
      </c>
      <c r="M111" t="s">
        <v>31</v>
      </c>
      <c r="N111" t="s">
        <v>31</v>
      </c>
      <c r="O111" t="s">
        <v>31</v>
      </c>
      <c r="P111" t="s">
        <v>31</v>
      </c>
      <c r="Q111" t="s">
        <v>31</v>
      </c>
      <c r="R111" t="s">
        <v>31</v>
      </c>
      <c r="S111" t="s">
        <v>31</v>
      </c>
      <c r="T111">
        <v>59</v>
      </c>
      <c r="U111">
        <v>125</v>
      </c>
      <c r="V111" t="s">
        <v>31</v>
      </c>
      <c r="W111" t="s">
        <v>31</v>
      </c>
      <c r="X111" t="s">
        <v>31</v>
      </c>
      <c r="Y111" t="s">
        <v>31</v>
      </c>
      <c r="Z111" t="s">
        <v>31</v>
      </c>
      <c r="AA111">
        <v>0</v>
      </c>
    </row>
    <row r="112" spans="1:27" x14ac:dyDescent="0.25">
      <c r="A112">
        <v>112</v>
      </c>
      <c r="B112" t="s">
        <v>27</v>
      </c>
      <c r="C112">
        <v>912</v>
      </c>
      <c r="D112" t="s">
        <v>53</v>
      </c>
      <c r="E112">
        <v>5118230410000100</v>
      </c>
      <c r="F112">
        <v>5118230410000100</v>
      </c>
      <c r="G112" t="s">
        <v>297</v>
      </c>
      <c r="H112" t="s">
        <v>298</v>
      </c>
      <c r="I112" t="s">
        <v>31</v>
      </c>
      <c r="J112" t="s">
        <v>30</v>
      </c>
      <c r="K112" t="s">
        <v>299</v>
      </c>
      <c r="L112" t="s">
        <v>31</v>
      </c>
      <c r="M112" t="s">
        <v>31</v>
      </c>
      <c r="N112" t="s">
        <v>31</v>
      </c>
      <c r="O112" t="s">
        <v>31</v>
      </c>
      <c r="P112" t="s">
        <v>31</v>
      </c>
      <c r="Q112" t="s">
        <v>31</v>
      </c>
      <c r="R112" t="s">
        <v>31</v>
      </c>
      <c r="S112" t="s">
        <v>31</v>
      </c>
      <c r="T112">
        <v>34</v>
      </c>
      <c r="U112">
        <v>85</v>
      </c>
      <c r="V112" t="s">
        <v>31</v>
      </c>
      <c r="W112" t="s">
        <v>31</v>
      </c>
      <c r="X112" t="s">
        <v>31</v>
      </c>
      <c r="Y112" t="s">
        <v>31</v>
      </c>
      <c r="Z112" t="s">
        <v>31</v>
      </c>
      <c r="AA112">
        <v>0</v>
      </c>
    </row>
    <row r="113" spans="1:27" x14ac:dyDescent="0.25">
      <c r="A113">
        <v>113</v>
      </c>
      <c r="B113" t="s">
        <v>27</v>
      </c>
      <c r="C113">
        <v>575</v>
      </c>
      <c r="D113" t="s">
        <v>53</v>
      </c>
      <c r="E113">
        <v>5118230000135000</v>
      </c>
      <c r="F113">
        <v>5118230000135000</v>
      </c>
      <c r="G113" t="s">
        <v>300</v>
      </c>
      <c r="H113">
        <v>135</v>
      </c>
      <c r="I113">
        <v>6253360135</v>
      </c>
      <c r="J113" t="s">
        <v>30</v>
      </c>
      <c r="K113" t="s">
        <v>301</v>
      </c>
      <c r="L113" t="s">
        <v>31</v>
      </c>
      <c r="M113" t="s">
        <v>31</v>
      </c>
      <c r="N113">
        <v>0</v>
      </c>
      <c r="O113" t="s">
        <v>67</v>
      </c>
      <c r="P113" t="s">
        <v>111</v>
      </c>
      <c r="Q113" t="s">
        <v>47</v>
      </c>
      <c r="R113" t="s">
        <v>61</v>
      </c>
      <c r="S113" t="s">
        <v>31</v>
      </c>
      <c r="T113">
        <v>22</v>
      </c>
      <c r="U113">
        <v>1</v>
      </c>
      <c r="V113" t="s">
        <v>31</v>
      </c>
      <c r="W113" t="s">
        <v>52</v>
      </c>
      <c r="X113" t="s">
        <v>85</v>
      </c>
      <c r="Y113">
        <v>0</v>
      </c>
      <c r="Z113" t="s">
        <v>40</v>
      </c>
      <c r="AA113">
        <v>3</v>
      </c>
    </row>
    <row r="114" spans="1:27" x14ac:dyDescent="0.25">
      <c r="A114">
        <v>114</v>
      </c>
      <c r="B114" t="s">
        <v>27</v>
      </c>
      <c r="C114">
        <v>578</v>
      </c>
      <c r="D114" t="s">
        <v>53</v>
      </c>
      <c r="E114">
        <v>5118230000138000</v>
      </c>
      <c r="F114">
        <v>5118230000138000</v>
      </c>
      <c r="G114" t="s">
        <v>302</v>
      </c>
      <c r="H114">
        <v>138</v>
      </c>
      <c r="I114">
        <v>6253360138</v>
      </c>
      <c r="J114" t="s">
        <v>30</v>
      </c>
      <c r="K114" t="s">
        <v>303</v>
      </c>
      <c r="L114" t="s">
        <v>31</v>
      </c>
      <c r="M114" t="s">
        <v>31</v>
      </c>
      <c r="N114">
        <v>0</v>
      </c>
      <c r="O114" t="s">
        <v>59</v>
      </c>
      <c r="P114" t="s">
        <v>94</v>
      </c>
      <c r="Q114" t="s">
        <v>31</v>
      </c>
      <c r="R114" t="s">
        <v>61</v>
      </c>
      <c r="S114" t="s">
        <v>61</v>
      </c>
      <c r="T114">
        <v>20</v>
      </c>
      <c r="U114">
        <v>60</v>
      </c>
      <c r="V114" t="s">
        <v>31</v>
      </c>
      <c r="W114" t="s">
        <v>52</v>
      </c>
      <c r="X114" t="s">
        <v>39</v>
      </c>
      <c r="Y114">
        <v>0</v>
      </c>
      <c r="Z114" t="s">
        <v>40</v>
      </c>
      <c r="AA114">
        <v>6</v>
      </c>
    </row>
    <row r="115" spans="1:27" x14ac:dyDescent="0.25">
      <c r="A115">
        <v>115</v>
      </c>
      <c r="B115" t="s">
        <v>27</v>
      </c>
      <c r="C115">
        <v>528</v>
      </c>
      <c r="D115" t="s">
        <v>53</v>
      </c>
      <c r="E115">
        <v>5118230000087000</v>
      </c>
      <c r="F115">
        <v>5118230000087000</v>
      </c>
      <c r="G115" t="s">
        <v>304</v>
      </c>
      <c r="H115">
        <v>87</v>
      </c>
      <c r="I115">
        <v>6253100087</v>
      </c>
      <c r="J115" t="s">
        <v>30</v>
      </c>
      <c r="K115" t="s">
        <v>305</v>
      </c>
      <c r="L115" t="s">
        <v>31</v>
      </c>
      <c r="M115" t="s">
        <v>31</v>
      </c>
      <c r="N115">
        <v>0</v>
      </c>
      <c r="O115" t="s">
        <v>59</v>
      </c>
      <c r="P115" t="s">
        <v>118</v>
      </c>
      <c r="Q115" t="s">
        <v>47</v>
      </c>
      <c r="R115" t="s">
        <v>61</v>
      </c>
      <c r="S115" t="s">
        <v>61</v>
      </c>
      <c r="T115">
        <v>50</v>
      </c>
      <c r="U115">
        <v>1</v>
      </c>
      <c r="V115" t="s">
        <v>37</v>
      </c>
      <c r="W115" t="s">
        <v>52</v>
      </c>
      <c r="X115" t="s">
        <v>160</v>
      </c>
      <c r="Y115">
        <v>0</v>
      </c>
      <c r="Z115" t="s">
        <v>40</v>
      </c>
      <c r="AA115">
        <v>15</v>
      </c>
    </row>
    <row r="116" spans="1:27" x14ac:dyDescent="0.25">
      <c r="A116">
        <v>116</v>
      </c>
      <c r="B116" t="s">
        <v>27</v>
      </c>
      <c r="C116">
        <v>529</v>
      </c>
      <c r="D116" t="s">
        <v>53</v>
      </c>
      <c r="E116">
        <v>5118230000088000</v>
      </c>
      <c r="F116">
        <v>5118230000088000</v>
      </c>
      <c r="G116" t="s">
        <v>306</v>
      </c>
      <c r="H116">
        <v>88</v>
      </c>
      <c r="I116">
        <v>6253100088</v>
      </c>
      <c r="J116" t="s">
        <v>30</v>
      </c>
      <c r="K116" t="s">
        <v>307</v>
      </c>
      <c r="L116" t="s">
        <v>31</v>
      </c>
      <c r="M116" t="s">
        <v>31</v>
      </c>
      <c r="N116">
        <v>0</v>
      </c>
      <c r="O116" t="s">
        <v>59</v>
      </c>
      <c r="P116" t="s">
        <v>308</v>
      </c>
      <c r="Q116" t="s">
        <v>47</v>
      </c>
      <c r="R116" t="s">
        <v>61</v>
      </c>
      <c r="S116" t="s">
        <v>61</v>
      </c>
      <c r="T116">
        <v>50</v>
      </c>
      <c r="U116">
        <v>1</v>
      </c>
      <c r="V116" t="s">
        <v>38</v>
      </c>
      <c r="W116" t="s">
        <v>52</v>
      </c>
      <c r="X116" t="s">
        <v>85</v>
      </c>
      <c r="Y116">
        <v>0</v>
      </c>
      <c r="Z116" t="s">
        <v>166</v>
      </c>
      <c r="AA116">
        <v>0</v>
      </c>
    </row>
    <row r="117" spans="1:27" x14ac:dyDescent="0.25">
      <c r="A117">
        <v>117</v>
      </c>
      <c r="B117" t="s">
        <v>27</v>
      </c>
      <c r="C117">
        <v>868</v>
      </c>
      <c r="D117" t="s">
        <v>53</v>
      </c>
      <c r="E117">
        <v>5118230310030100</v>
      </c>
      <c r="F117">
        <v>5118230310030100</v>
      </c>
      <c r="G117" t="s">
        <v>260</v>
      </c>
      <c r="H117" t="s">
        <v>309</v>
      </c>
      <c r="I117" t="s">
        <v>31</v>
      </c>
      <c r="J117" t="s">
        <v>30</v>
      </c>
      <c r="K117" t="s">
        <v>296</v>
      </c>
      <c r="L117" t="s">
        <v>31</v>
      </c>
      <c r="M117" t="s">
        <v>31</v>
      </c>
      <c r="N117" t="s">
        <v>31</v>
      </c>
      <c r="O117" t="s">
        <v>31</v>
      </c>
      <c r="P117" t="s">
        <v>31</v>
      </c>
      <c r="Q117" t="s">
        <v>31</v>
      </c>
      <c r="R117" t="s">
        <v>31</v>
      </c>
      <c r="S117" t="s">
        <v>31</v>
      </c>
      <c r="T117">
        <v>23</v>
      </c>
      <c r="U117">
        <v>39</v>
      </c>
      <c r="V117" t="s">
        <v>31</v>
      </c>
      <c r="W117" t="s">
        <v>31</v>
      </c>
      <c r="X117" t="s">
        <v>31</v>
      </c>
      <c r="Y117" t="s">
        <v>31</v>
      </c>
      <c r="Z117" t="s">
        <v>31</v>
      </c>
      <c r="AA117">
        <v>0</v>
      </c>
    </row>
    <row r="118" spans="1:27" x14ac:dyDescent="0.25">
      <c r="A118">
        <v>118</v>
      </c>
      <c r="B118" t="s">
        <v>27</v>
      </c>
      <c r="C118">
        <v>747</v>
      </c>
      <c r="D118" t="s">
        <v>41</v>
      </c>
      <c r="E118">
        <v>5118230100010100</v>
      </c>
      <c r="F118">
        <v>5118230100010100</v>
      </c>
      <c r="G118" t="s">
        <v>310</v>
      </c>
      <c r="H118" t="s">
        <v>311</v>
      </c>
      <c r="I118" t="s">
        <v>31</v>
      </c>
      <c r="J118" t="s">
        <v>30</v>
      </c>
      <c r="K118" t="s">
        <v>312</v>
      </c>
      <c r="L118" t="s">
        <v>31</v>
      </c>
      <c r="M118" t="s">
        <v>31</v>
      </c>
      <c r="N118" t="s">
        <v>31</v>
      </c>
      <c r="O118" t="s">
        <v>31</v>
      </c>
      <c r="P118" t="s">
        <v>31</v>
      </c>
      <c r="Q118" t="s">
        <v>31</v>
      </c>
      <c r="R118" t="s">
        <v>31</v>
      </c>
      <c r="S118" t="s">
        <v>31</v>
      </c>
      <c r="T118">
        <v>1</v>
      </c>
      <c r="U118">
        <v>5</v>
      </c>
      <c r="V118" t="s">
        <v>31</v>
      </c>
      <c r="W118" t="s">
        <v>31</v>
      </c>
      <c r="X118" t="s">
        <v>31</v>
      </c>
      <c r="Y118" t="s">
        <v>31</v>
      </c>
      <c r="Z118" t="s">
        <v>31</v>
      </c>
      <c r="AA118">
        <v>0</v>
      </c>
    </row>
    <row r="119" spans="1:27" x14ac:dyDescent="0.25">
      <c r="A119">
        <v>119</v>
      </c>
      <c r="B119" t="s">
        <v>27</v>
      </c>
      <c r="C119">
        <v>745</v>
      </c>
      <c r="D119" t="s">
        <v>41</v>
      </c>
      <c r="E119">
        <v>5118230100000100</v>
      </c>
      <c r="F119">
        <v>5118230100000100</v>
      </c>
      <c r="G119" t="s">
        <v>313</v>
      </c>
      <c r="H119" t="s">
        <v>314</v>
      </c>
      <c r="I119" t="s">
        <v>31</v>
      </c>
      <c r="J119" t="s">
        <v>30</v>
      </c>
      <c r="K119" t="s">
        <v>312</v>
      </c>
      <c r="L119" t="s">
        <v>31</v>
      </c>
      <c r="M119" t="s">
        <v>31</v>
      </c>
      <c r="N119" t="s">
        <v>31</v>
      </c>
      <c r="O119" t="s">
        <v>31</v>
      </c>
      <c r="P119" t="s">
        <v>31</v>
      </c>
      <c r="Q119" t="s">
        <v>31</v>
      </c>
      <c r="R119" t="s">
        <v>31</v>
      </c>
      <c r="S119" t="s">
        <v>31</v>
      </c>
      <c r="T119">
        <v>30</v>
      </c>
      <c r="U119">
        <v>30</v>
      </c>
      <c r="V119" t="s">
        <v>31</v>
      </c>
      <c r="W119" t="s">
        <v>31</v>
      </c>
      <c r="X119" t="s">
        <v>31</v>
      </c>
      <c r="Y119" t="s">
        <v>31</v>
      </c>
      <c r="Z119" t="s">
        <v>31</v>
      </c>
      <c r="AA119">
        <v>0</v>
      </c>
    </row>
    <row r="120" spans="1:27" x14ac:dyDescent="0.25">
      <c r="A120">
        <v>120</v>
      </c>
      <c r="B120" t="s">
        <v>27</v>
      </c>
      <c r="C120">
        <v>509</v>
      </c>
      <c r="D120" t="s">
        <v>53</v>
      </c>
      <c r="E120">
        <v>5118230000068000</v>
      </c>
      <c r="F120">
        <v>5118230000068000</v>
      </c>
      <c r="G120" t="s">
        <v>315</v>
      </c>
      <c r="H120">
        <v>68</v>
      </c>
      <c r="I120">
        <v>6253300068</v>
      </c>
      <c r="J120" t="s">
        <v>30</v>
      </c>
      <c r="K120" t="s">
        <v>316</v>
      </c>
      <c r="L120" t="s">
        <v>31</v>
      </c>
      <c r="M120" t="s">
        <v>31</v>
      </c>
      <c r="N120">
        <v>0</v>
      </c>
      <c r="O120" t="s">
        <v>110</v>
      </c>
      <c r="P120" t="s">
        <v>317</v>
      </c>
      <c r="Q120" t="s">
        <v>47</v>
      </c>
      <c r="R120" t="s">
        <v>61</v>
      </c>
      <c r="S120" t="s">
        <v>61</v>
      </c>
      <c r="T120">
        <v>1</v>
      </c>
      <c r="U120">
        <v>15</v>
      </c>
      <c r="V120" t="s">
        <v>31</v>
      </c>
      <c r="W120" t="s">
        <v>37</v>
      </c>
      <c r="X120" t="s">
        <v>85</v>
      </c>
      <c r="Y120">
        <v>0</v>
      </c>
      <c r="Z120" t="s">
        <v>40</v>
      </c>
      <c r="AA120">
        <v>1</v>
      </c>
    </row>
    <row r="121" spans="1:27" x14ac:dyDescent="0.25">
      <c r="A121">
        <v>121</v>
      </c>
      <c r="B121" t="s">
        <v>27</v>
      </c>
      <c r="C121">
        <v>515</v>
      </c>
      <c r="D121" t="s">
        <v>53</v>
      </c>
      <c r="E121">
        <v>5118230000074000</v>
      </c>
      <c r="F121">
        <v>5118230000074000</v>
      </c>
      <c r="G121" t="s">
        <v>318</v>
      </c>
      <c r="H121">
        <v>74</v>
      </c>
      <c r="I121">
        <v>6253030074</v>
      </c>
      <c r="J121" t="s">
        <v>30</v>
      </c>
      <c r="K121" t="s">
        <v>319</v>
      </c>
      <c r="L121" t="s">
        <v>31</v>
      </c>
      <c r="M121" t="s">
        <v>31</v>
      </c>
      <c r="N121">
        <v>0</v>
      </c>
      <c r="O121" t="s">
        <v>31</v>
      </c>
      <c r="P121" t="s">
        <v>60</v>
      </c>
      <c r="Q121" t="s">
        <v>47</v>
      </c>
      <c r="R121" t="s">
        <v>61</v>
      </c>
      <c r="S121" t="s">
        <v>61</v>
      </c>
      <c r="T121">
        <v>1</v>
      </c>
      <c r="U121">
        <v>30</v>
      </c>
      <c r="V121" t="s">
        <v>38</v>
      </c>
      <c r="W121" t="s">
        <v>37</v>
      </c>
      <c r="X121" t="s">
        <v>39</v>
      </c>
      <c r="Y121">
        <v>0</v>
      </c>
      <c r="Z121" t="s">
        <v>40</v>
      </c>
      <c r="AA121">
        <v>0</v>
      </c>
    </row>
    <row r="122" spans="1:27" x14ac:dyDescent="0.25">
      <c r="A122">
        <v>122</v>
      </c>
      <c r="B122" t="s">
        <v>27</v>
      </c>
      <c r="C122">
        <v>748</v>
      </c>
      <c r="D122" t="s">
        <v>53</v>
      </c>
      <c r="E122">
        <v>5118230100020100</v>
      </c>
      <c r="F122">
        <v>5118230100020100</v>
      </c>
      <c r="G122" t="s">
        <v>320</v>
      </c>
      <c r="H122" t="s">
        <v>321</v>
      </c>
      <c r="I122" t="s">
        <v>31</v>
      </c>
      <c r="J122" t="s">
        <v>30</v>
      </c>
      <c r="K122" t="s">
        <v>322</v>
      </c>
      <c r="L122" t="s">
        <v>31</v>
      </c>
      <c r="M122" t="s">
        <v>31</v>
      </c>
      <c r="N122" t="s">
        <v>31</v>
      </c>
      <c r="O122" t="s">
        <v>31</v>
      </c>
      <c r="P122" t="s">
        <v>31</v>
      </c>
      <c r="Q122" t="s">
        <v>31</v>
      </c>
      <c r="R122" t="s">
        <v>31</v>
      </c>
      <c r="S122" t="s">
        <v>31</v>
      </c>
      <c r="T122">
        <v>18</v>
      </c>
      <c r="U122">
        <v>30</v>
      </c>
      <c r="V122" t="s">
        <v>31</v>
      </c>
      <c r="W122" t="s">
        <v>31</v>
      </c>
      <c r="X122" t="s">
        <v>31</v>
      </c>
      <c r="Y122" t="s">
        <v>31</v>
      </c>
      <c r="Z122" t="s">
        <v>31</v>
      </c>
      <c r="AA122">
        <v>0</v>
      </c>
    </row>
    <row r="123" spans="1:27" x14ac:dyDescent="0.25">
      <c r="A123">
        <v>123</v>
      </c>
      <c r="B123" t="s">
        <v>27</v>
      </c>
      <c r="C123">
        <v>755</v>
      </c>
      <c r="D123" t="s">
        <v>53</v>
      </c>
      <c r="E123">
        <v>5118230100100100</v>
      </c>
      <c r="F123">
        <v>5118230100100100</v>
      </c>
      <c r="G123" t="s">
        <v>323</v>
      </c>
      <c r="H123" t="s">
        <v>324</v>
      </c>
      <c r="I123" t="s">
        <v>31</v>
      </c>
      <c r="J123" t="s">
        <v>30</v>
      </c>
      <c r="K123" t="s">
        <v>325</v>
      </c>
      <c r="L123" t="s">
        <v>31</v>
      </c>
      <c r="M123" t="s">
        <v>31</v>
      </c>
      <c r="N123" t="s">
        <v>31</v>
      </c>
      <c r="O123" t="s">
        <v>31</v>
      </c>
      <c r="P123" t="s">
        <v>31</v>
      </c>
      <c r="Q123" t="s">
        <v>31</v>
      </c>
      <c r="R123" t="s">
        <v>31</v>
      </c>
      <c r="S123" t="s">
        <v>31</v>
      </c>
      <c r="T123">
        <v>110</v>
      </c>
      <c r="U123">
        <v>163</v>
      </c>
      <c r="V123" t="s">
        <v>31</v>
      </c>
      <c r="W123" t="s">
        <v>31</v>
      </c>
      <c r="X123" t="s">
        <v>31</v>
      </c>
      <c r="Y123" t="s">
        <v>31</v>
      </c>
      <c r="Z123" t="s">
        <v>31</v>
      </c>
      <c r="AA123">
        <v>0</v>
      </c>
    </row>
    <row r="124" spans="1:27" x14ac:dyDescent="0.25">
      <c r="A124">
        <v>124</v>
      </c>
      <c r="B124" t="s">
        <v>27</v>
      </c>
      <c r="C124">
        <v>941</v>
      </c>
      <c r="D124" t="s">
        <v>53</v>
      </c>
      <c r="E124">
        <v>5118232170100100</v>
      </c>
      <c r="F124">
        <v>5118232170100100</v>
      </c>
      <c r="G124" t="s">
        <v>323</v>
      </c>
      <c r="H124" t="s">
        <v>324</v>
      </c>
      <c r="I124" t="s">
        <v>31</v>
      </c>
      <c r="J124" t="s">
        <v>30</v>
      </c>
      <c r="K124" t="s">
        <v>325</v>
      </c>
      <c r="L124" t="s">
        <v>31</v>
      </c>
      <c r="M124" t="s">
        <v>31</v>
      </c>
      <c r="N124" t="s">
        <v>31</v>
      </c>
      <c r="O124" t="s">
        <v>31</v>
      </c>
      <c r="P124" t="s">
        <v>31</v>
      </c>
      <c r="Q124" t="s">
        <v>31</v>
      </c>
      <c r="R124" t="s">
        <v>31</v>
      </c>
      <c r="S124" t="s">
        <v>31</v>
      </c>
      <c r="T124">
        <v>110</v>
      </c>
      <c r="U124">
        <v>163</v>
      </c>
      <c r="V124" t="s">
        <v>31</v>
      </c>
      <c r="W124" t="s">
        <v>31</v>
      </c>
      <c r="X124" t="s">
        <v>31</v>
      </c>
      <c r="Y124" t="s">
        <v>31</v>
      </c>
      <c r="Z124" t="s">
        <v>31</v>
      </c>
      <c r="AA124">
        <v>0</v>
      </c>
    </row>
    <row r="125" spans="1:27" x14ac:dyDescent="0.25">
      <c r="A125">
        <v>125</v>
      </c>
      <c r="B125" t="s">
        <v>27</v>
      </c>
      <c r="C125">
        <v>510</v>
      </c>
      <c r="D125" t="s">
        <v>53</v>
      </c>
      <c r="E125">
        <v>5118230000069000</v>
      </c>
      <c r="F125">
        <v>5118230000069000</v>
      </c>
      <c r="G125" t="s">
        <v>326</v>
      </c>
      <c r="H125">
        <v>69</v>
      </c>
      <c r="I125">
        <v>6253030069</v>
      </c>
      <c r="J125" t="s">
        <v>30</v>
      </c>
      <c r="K125" t="s">
        <v>327</v>
      </c>
      <c r="L125" t="s">
        <v>31</v>
      </c>
      <c r="M125" t="s">
        <v>31</v>
      </c>
      <c r="N125">
        <v>0</v>
      </c>
      <c r="O125" t="s">
        <v>59</v>
      </c>
      <c r="P125" t="s">
        <v>328</v>
      </c>
      <c r="Q125" t="s">
        <v>47</v>
      </c>
      <c r="R125" t="s">
        <v>31</v>
      </c>
      <c r="S125" t="s">
        <v>31</v>
      </c>
      <c r="T125">
        <v>29</v>
      </c>
      <c r="U125">
        <v>30</v>
      </c>
      <c r="V125" t="s">
        <v>31</v>
      </c>
      <c r="W125" t="s">
        <v>52</v>
      </c>
      <c r="X125" t="s">
        <v>85</v>
      </c>
      <c r="Y125">
        <v>0</v>
      </c>
      <c r="Z125" t="s">
        <v>40</v>
      </c>
      <c r="AA125">
        <v>2</v>
      </c>
    </row>
    <row r="126" spans="1:27" x14ac:dyDescent="0.25">
      <c r="A126">
        <v>126</v>
      </c>
      <c r="B126" t="s">
        <v>27</v>
      </c>
      <c r="C126">
        <v>746</v>
      </c>
      <c r="D126" t="s">
        <v>53</v>
      </c>
      <c r="E126">
        <v>5118230100010100</v>
      </c>
      <c r="F126">
        <v>5118230100010100</v>
      </c>
      <c r="G126" t="s">
        <v>329</v>
      </c>
      <c r="H126" t="s">
        <v>330</v>
      </c>
      <c r="I126" t="s">
        <v>31</v>
      </c>
      <c r="J126" t="s">
        <v>30</v>
      </c>
      <c r="K126" t="s">
        <v>322</v>
      </c>
      <c r="L126" t="s">
        <v>31</v>
      </c>
      <c r="M126" t="s">
        <v>31</v>
      </c>
      <c r="N126" t="s">
        <v>31</v>
      </c>
      <c r="O126" t="s">
        <v>31</v>
      </c>
      <c r="P126" t="s">
        <v>31</v>
      </c>
      <c r="Q126" t="s">
        <v>31</v>
      </c>
      <c r="R126" t="s">
        <v>31</v>
      </c>
      <c r="S126" t="s">
        <v>31</v>
      </c>
      <c r="T126">
        <v>21</v>
      </c>
      <c r="U126">
        <v>30</v>
      </c>
      <c r="V126" t="s">
        <v>31</v>
      </c>
      <c r="W126" t="s">
        <v>31</v>
      </c>
      <c r="X126" t="s">
        <v>31</v>
      </c>
      <c r="Y126" t="s">
        <v>31</v>
      </c>
      <c r="Z126" t="s">
        <v>31</v>
      </c>
      <c r="AA126">
        <v>0</v>
      </c>
    </row>
    <row r="127" spans="1:27" x14ac:dyDescent="0.25">
      <c r="A127">
        <v>127</v>
      </c>
      <c r="B127" t="s">
        <v>27</v>
      </c>
      <c r="C127">
        <v>753</v>
      </c>
      <c r="D127" t="s">
        <v>53</v>
      </c>
      <c r="E127">
        <v>5118230100070100</v>
      </c>
      <c r="F127">
        <v>5118230100070100</v>
      </c>
      <c r="G127" t="s">
        <v>331</v>
      </c>
      <c r="H127" t="s">
        <v>332</v>
      </c>
      <c r="I127" t="s">
        <v>31</v>
      </c>
      <c r="J127" t="s">
        <v>30</v>
      </c>
      <c r="K127" t="s">
        <v>333</v>
      </c>
      <c r="L127" t="s">
        <v>31</v>
      </c>
      <c r="M127" t="s">
        <v>31</v>
      </c>
      <c r="N127" t="s">
        <v>31</v>
      </c>
      <c r="O127" t="s">
        <v>31</v>
      </c>
      <c r="P127" t="s">
        <v>31</v>
      </c>
      <c r="Q127" t="s">
        <v>31</v>
      </c>
      <c r="R127" t="s">
        <v>31</v>
      </c>
      <c r="S127" t="s">
        <v>31</v>
      </c>
      <c r="T127">
        <v>10</v>
      </c>
      <c r="U127">
        <v>12</v>
      </c>
      <c r="V127" t="s">
        <v>31</v>
      </c>
      <c r="W127" t="s">
        <v>31</v>
      </c>
      <c r="X127" t="s">
        <v>31</v>
      </c>
      <c r="Y127" t="s">
        <v>31</v>
      </c>
      <c r="Z127" t="s">
        <v>31</v>
      </c>
      <c r="AA127">
        <v>0</v>
      </c>
    </row>
    <row r="128" spans="1:27" x14ac:dyDescent="0.25">
      <c r="A128">
        <v>128</v>
      </c>
      <c r="B128" t="s">
        <v>27</v>
      </c>
      <c r="C128">
        <v>749</v>
      </c>
      <c r="D128" t="s">
        <v>53</v>
      </c>
      <c r="E128">
        <v>5118230100030100</v>
      </c>
      <c r="F128">
        <v>5118230100030100</v>
      </c>
      <c r="G128" t="s">
        <v>334</v>
      </c>
      <c r="H128" t="s">
        <v>335</v>
      </c>
      <c r="I128" t="s">
        <v>31</v>
      </c>
      <c r="J128" t="s">
        <v>30</v>
      </c>
      <c r="K128" t="s">
        <v>322</v>
      </c>
      <c r="L128" t="s">
        <v>31</v>
      </c>
      <c r="M128" t="s">
        <v>31</v>
      </c>
      <c r="N128" t="s">
        <v>31</v>
      </c>
      <c r="O128" t="s">
        <v>31</v>
      </c>
      <c r="P128" t="s">
        <v>31</v>
      </c>
      <c r="Q128" t="s">
        <v>31</v>
      </c>
      <c r="R128" t="s">
        <v>31</v>
      </c>
      <c r="S128" t="s">
        <v>31</v>
      </c>
      <c r="T128">
        <v>6</v>
      </c>
      <c r="U128">
        <v>14</v>
      </c>
      <c r="V128" t="s">
        <v>31</v>
      </c>
      <c r="W128" t="s">
        <v>31</v>
      </c>
      <c r="X128" t="s">
        <v>31</v>
      </c>
      <c r="Y128" t="s">
        <v>31</v>
      </c>
      <c r="Z128" t="s">
        <v>31</v>
      </c>
      <c r="AA128">
        <v>0</v>
      </c>
    </row>
    <row r="129" spans="1:27" x14ac:dyDescent="0.25">
      <c r="A129">
        <v>129</v>
      </c>
      <c r="B129" t="s">
        <v>27</v>
      </c>
      <c r="C129">
        <v>754</v>
      </c>
      <c r="D129" t="s">
        <v>53</v>
      </c>
      <c r="E129">
        <v>5118230100080100</v>
      </c>
      <c r="F129">
        <v>5118230100080100</v>
      </c>
      <c r="G129" t="s">
        <v>336</v>
      </c>
      <c r="H129" t="s">
        <v>337</v>
      </c>
      <c r="I129" t="s">
        <v>31</v>
      </c>
      <c r="J129" t="s">
        <v>30</v>
      </c>
      <c r="K129" t="s">
        <v>333</v>
      </c>
      <c r="L129" t="s">
        <v>31</v>
      </c>
      <c r="M129" t="s">
        <v>31</v>
      </c>
      <c r="N129" t="s">
        <v>31</v>
      </c>
      <c r="O129" t="s">
        <v>31</v>
      </c>
      <c r="P129" t="s">
        <v>31</v>
      </c>
      <c r="Q129" t="s">
        <v>31</v>
      </c>
      <c r="R129" t="s">
        <v>31</v>
      </c>
      <c r="S129" t="s">
        <v>31</v>
      </c>
      <c r="T129">
        <v>10</v>
      </c>
      <c r="U129">
        <v>15</v>
      </c>
      <c r="V129" t="s">
        <v>31</v>
      </c>
      <c r="W129" t="s">
        <v>31</v>
      </c>
      <c r="X129" t="s">
        <v>31</v>
      </c>
      <c r="Y129" t="s">
        <v>31</v>
      </c>
      <c r="Z129" t="s">
        <v>31</v>
      </c>
      <c r="AA129">
        <v>0</v>
      </c>
    </row>
    <row r="130" spans="1:27" x14ac:dyDescent="0.25">
      <c r="A130">
        <v>130</v>
      </c>
      <c r="B130" t="s">
        <v>27</v>
      </c>
      <c r="C130">
        <v>513</v>
      </c>
      <c r="D130" t="s">
        <v>53</v>
      </c>
      <c r="E130">
        <v>5118230000072000</v>
      </c>
      <c r="F130">
        <v>5118230000072000</v>
      </c>
      <c r="G130" t="s">
        <v>338</v>
      </c>
      <c r="H130">
        <v>72</v>
      </c>
      <c r="I130">
        <v>6253030072</v>
      </c>
      <c r="J130" t="s">
        <v>30</v>
      </c>
      <c r="K130" t="s">
        <v>339</v>
      </c>
      <c r="L130" t="s">
        <v>31</v>
      </c>
      <c r="M130" t="s">
        <v>31</v>
      </c>
      <c r="N130">
        <v>0</v>
      </c>
      <c r="O130" t="s">
        <v>67</v>
      </c>
      <c r="P130" t="s">
        <v>317</v>
      </c>
      <c r="Q130" t="s">
        <v>47</v>
      </c>
      <c r="R130" t="s">
        <v>61</v>
      </c>
      <c r="S130" t="s">
        <v>61</v>
      </c>
      <c r="T130">
        <v>8</v>
      </c>
      <c r="U130">
        <v>10</v>
      </c>
      <c r="V130" t="s">
        <v>31</v>
      </c>
      <c r="W130" t="s">
        <v>37</v>
      </c>
      <c r="X130" t="s">
        <v>85</v>
      </c>
      <c r="Y130">
        <v>0</v>
      </c>
      <c r="Z130" t="s">
        <v>40</v>
      </c>
      <c r="AA130">
        <v>3</v>
      </c>
    </row>
    <row r="131" spans="1:27" x14ac:dyDescent="0.25">
      <c r="A131">
        <v>131</v>
      </c>
      <c r="B131" t="s">
        <v>27</v>
      </c>
      <c r="C131">
        <v>503</v>
      </c>
      <c r="D131" t="s">
        <v>53</v>
      </c>
      <c r="E131">
        <v>5118230000062000</v>
      </c>
      <c r="F131">
        <v>5118230000062000</v>
      </c>
      <c r="G131" t="s">
        <v>340</v>
      </c>
      <c r="H131">
        <v>62</v>
      </c>
      <c r="I131">
        <v>6253080062</v>
      </c>
      <c r="J131" t="s">
        <v>30</v>
      </c>
      <c r="K131" t="s">
        <v>341</v>
      </c>
      <c r="L131" t="s">
        <v>31</v>
      </c>
      <c r="M131" t="s">
        <v>31</v>
      </c>
      <c r="N131">
        <v>0</v>
      </c>
      <c r="O131" t="s">
        <v>59</v>
      </c>
      <c r="P131" t="s">
        <v>342</v>
      </c>
      <c r="Q131" t="s">
        <v>47</v>
      </c>
      <c r="R131" t="s">
        <v>61</v>
      </c>
      <c r="S131" t="s">
        <v>61</v>
      </c>
      <c r="T131">
        <v>35</v>
      </c>
      <c r="U131">
        <v>45</v>
      </c>
      <c r="V131" t="s">
        <v>31</v>
      </c>
      <c r="W131" t="s">
        <v>52</v>
      </c>
      <c r="X131" t="s">
        <v>39</v>
      </c>
      <c r="Y131">
        <v>0</v>
      </c>
      <c r="Z131" t="s">
        <v>343</v>
      </c>
      <c r="AA131">
        <v>0</v>
      </c>
    </row>
    <row r="132" spans="1:27" x14ac:dyDescent="0.25">
      <c r="A132">
        <v>132</v>
      </c>
      <c r="B132" t="s">
        <v>27</v>
      </c>
      <c r="C132">
        <v>511</v>
      </c>
      <c r="D132" t="s">
        <v>53</v>
      </c>
      <c r="E132">
        <v>5118230000070000</v>
      </c>
      <c r="F132">
        <v>5118230000070000</v>
      </c>
      <c r="G132" t="s">
        <v>344</v>
      </c>
      <c r="H132">
        <v>70</v>
      </c>
      <c r="I132">
        <v>6253030070</v>
      </c>
      <c r="J132" t="s">
        <v>30</v>
      </c>
      <c r="K132" t="s">
        <v>345</v>
      </c>
      <c r="L132" t="s">
        <v>31</v>
      </c>
      <c r="M132" t="s">
        <v>31</v>
      </c>
      <c r="N132">
        <v>0</v>
      </c>
      <c r="O132" t="s">
        <v>59</v>
      </c>
      <c r="P132" t="s">
        <v>317</v>
      </c>
      <c r="Q132" t="s">
        <v>47</v>
      </c>
      <c r="R132" t="s">
        <v>61</v>
      </c>
      <c r="S132" t="s">
        <v>61</v>
      </c>
      <c r="T132">
        <v>18</v>
      </c>
      <c r="U132">
        <v>1</v>
      </c>
      <c r="V132" t="s">
        <v>31</v>
      </c>
      <c r="W132" t="s">
        <v>52</v>
      </c>
      <c r="X132" t="s">
        <v>39</v>
      </c>
      <c r="Y132">
        <v>0</v>
      </c>
      <c r="Z132" t="s">
        <v>40</v>
      </c>
      <c r="AA132">
        <v>0</v>
      </c>
    </row>
    <row r="133" spans="1:27" x14ac:dyDescent="0.25">
      <c r="A133">
        <v>133</v>
      </c>
      <c r="B133" t="s">
        <v>27</v>
      </c>
      <c r="C133">
        <v>512</v>
      </c>
      <c r="D133" t="s">
        <v>53</v>
      </c>
      <c r="E133">
        <v>5118230000071000</v>
      </c>
      <c r="F133">
        <v>5118230000071000</v>
      </c>
      <c r="G133" t="s">
        <v>346</v>
      </c>
      <c r="H133">
        <v>71</v>
      </c>
      <c r="I133">
        <v>6253030071</v>
      </c>
      <c r="J133" t="s">
        <v>30</v>
      </c>
      <c r="K133" t="s">
        <v>347</v>
      </c>
      <c r="L133" t="s">
        <v>31</v>
      </c>
      <c r="M133" t="s">
        <v>31</v>
      </c>
      <c r="N133">
        <v>0</v>
      </c>
      <c r="O133" t="s">
        <v>59</v>
      </c>
      <c r="P133" t="s">
        <v>348</v>
      </c>
      <c r="Q133" t="s">
        <v>47</v>
      </c>
      <c r="R133" t="s">
        <v>61</v>
      </c>
      <c r="S133" t="s">
        <v>61</v>
      </c>
      <c r="T133">
        <v>6</v>
      </c>
      <c r="U133">
        <v>30</v>
      </c>
      <c r="V133" t="s">
        <v>31</v>
      </c>
      <c r="W133" t="s">
        <v>37</v>
      </c>
      <c r="X133" t="s">
        <v>85</v>
      </c>
      <c r="Y133">
        <v>0</v>
      </c>
      <c r="Z133" t="s">
        <v>40</v>
      </c>
      <c r="AA133">
        <v>12</v>
      </c>
    </row>
    <row r="134" spans="1:27" x14ac:dyDescent="0.25">
      <c r="A134">
        <v>134</v>
      </c>
      <c r="B134" t="s">
        <v>27</v>
      </c>
      <c r="C134">
        <v>576</v>
      </c>
      <c r="D134" t="s">
        <v>41</v>
      </c>
      <c r="E134">
        <v>5118230000136000</v>
      </c>
      <c r="F134">
        <v>5118230000136000</v>
      </c>
      <c r="G134" t="s">
        <v>349</v>
      </c>
      <c r="H134">
        <v>136</v>
      </c>
      <c r="I134">
        <v>6253360136</v>
      </c>
      <c r="J134" t="s">
        <v>30</v>
      </c>
      <c r="K134" t="s">
        <v>350</v>
      </c>
      <c r="L134" t="s">
        <v>31</v>
      </c>
      <c r="M134" t="s">
        <v>31</v>
      </c>
      <c r="N134">
        <v>0</v>
      </c>
      <c r="O134" t="s">
        <v>31</v>
      </c>
      <c r="P134" t="s">
        <v>31</v>
      </c>
      <c r="Q134" t="s">
        <v>31</v>
      </c>
      <c r="R134" t="s">
        <v>31</v>
      </c>
      <c r="S134" t="s">
        <v>31</v>
      </c>
      <c r="T134">
        <v>25</v>
      </c>
      <c r="U134">
        <v>20</v>
      </c>
      <c r="V134" t="s">
        <v>31</v>
      </c>
      <c r="W134" t="s">
        <v>52</v>
      </c>
      <c r="X134" t="s">
        <v>39</v>
      </c>
      <c r="Y134">
        <v>0</v>
      </c>
      <c r="Z134" t="s">
        <v>49</v>
      </c>
      <c r="AA134">
        <v>0</v>
      </c>
    </row>
    <row r="135" spans="1:27" x14ac:dyDescent="0.25">
      <c r="A135">
        <v>135</v>
      </c>
      <c r="B135" t="s">
        <v>27</v>
      </c>
      <c r="C135">
        <v>750</v>
      </c>
      <c r="D135" t="s">
        <v>53</v>
      </c>
      <c r="E135">
        <v>5118230100040100</v>
      </c>
      <c r="F135">
        <v>5118230100040100</v>
      </c>
      <c r="G135" t="s">
        <v>351</v>
      </c>
      <c r="H135" t="s">
        <v>352</v>
      </c>
      <c r="I135" t="s">
        <v>31</v>
      </c>
      <c r="J135" t="s">
        <v>30</v>
      </c>
      <c r="K135" t="s">
        <v>322</v>
      </c>
      <c r="L135" t="s">
        <v>31</v>
      </c>
      <c r="M135" t="s">
        <v>31</v>
      </c>
      <c r="N135" t="s">
        <v>31</v>
      </c>
      <c r="O135" t="s">
        <v>31</v>
      </c>
      <c r="P135" t="s">
        <v>31</v>
      </c>
      <c r="Q135" t="s">
        <v>31</v>
      </c>
      <c r="R135" t="s">
        <v>31</v>
      </c>
      <c r="S135" t="s">
        <v>31</v>
      </c>
      <c r="T135">
        <v>120</v>
      </c>
      <c r="U135">
        <v>160</v>
      </c>
      <c r="V135" t="s">
        <v>31</v>
      </c>
      <c r="W135" t="s">
        <v>31</v>
      </c>
      <c r="X135" t="s">
        <v>31</v>
      </c>
      <c r="Y135" t="s">
        <v>31</v>
      </c>
      <c r="Z135" t="s">
        <v>31</v>
      </c>
      <c r="AA135">
        <v>0</v>
      </c>
    </row>
    <row r="136" spans="1:27" x14ac:dyDescent="0.25">
      <c r="A136">
        <v>136</v>
      </c>
      <c r="B136" t="s">
        <v>27</v>
      </c>
      <c r="C136">
        <v>724</v>
      </c>
      <c r="D136" t="s">
        <v>53</v>
      </c>
      <c r="E136">
        <v>5118230070000100</v>
      </c>
      <c r="F136">
        <v>5118230070000100</v>
      </c>
      <c r="G136" t="s">
        <v>353</v>
      </c>
      <c r="H136" t="s">
        <v>354</v>
      </c>
      <c r="I136" t="s">
        <v>31</v>
      </c>
      <c r="J136" t="s">
        <v>30</v>
      </c>
      <c r="K136" t="s">
        <v>355</v>
      </c>
      <c r="L136" t="s">
        <v>31</v>
      </c>
      <c r="M136" t="s">
        <v>31</v>
      </c>
      <c r="N136" t="s">
        <v>31</v>
      </c>
      <c r="O136" t="s">
        <v>31</v>
      </c>
      <c r="P136" t="s">
        <v>31</v>
      </c>
      <c r="Q136" t="s">
        <v>31</v>
      </c>
      <c r="R136" t="s">
        <v>31</v>
      </c>
      <c r="S136" t="s">
        <v>31</v>
      </c>
      <c r="T136">
        <v>72</v>
      </c>
      <c r="U136">
        <v>189</v>
      </c>
      <c r="V136" t="s">
        <v>31</v>
      </c>
      <c r="W136" t="s">
        <v>31</v>
      </c>
      <c r="X136" t="s">
        <v>31</v>
      </c>
      <c r="Y136" t="s">
        <v>31</v>
      </c>
      <c r="Z136" t="s">
        <v>31</v>
      </c>
      <c r="AA136">
        <v>0</v>
      </c>
    </row>
    <row r="137" spans="1:27" x14ac:dyDescent="0.25">
      <c r="A137">
        <v>137</v>
      </c>
      <c r="B137" t="s">
        <v>27</v>
      </c>
      <c r="C137">
        <v>942</v>
      </c>
      <c r="D137" t="s">
        <v>53</v>
      </c>
      <c r="E137">
        <v>5118232220000100</v>
      </c>
      <c r="F137">
        <v>5118232220000100</v>
      </c>
      <c r="G137" t="s">
        <v>353</v>
      </c>
      <c r="H137" t="s">
        <v>354</v>
      </c>
      <c r="I137" t="s">
        <v>31</v>
      </c>
      <c r="J137" t="s">
        <v>30</v>
      </c>
      <c r="K137" t="s">
        <v>355</v>
      </c>
      <c r="L137" t="s">
        <v>31</v>
      </c>
      <c r="M137" t="s">
        <v>31</v>
      </c>
      <c r="N137" t="s">
        <v>31</v>
      </c>
      <c r="O137" t="s">
        <v>31</v>
      </c>
      <c r="P137" t="s">
        <v>31</v>
      </c>
      <c r="Q137" t="s">
        <v>31</v>
      </c>
      <c r="R137" t="s">
        <v>31</v>
      </c>
      <c r="S137" t="s">
        <v>31</v>
      </c>
      <c r="T137">
        <v>72</v>
      </c>
      <c r="U137">
        <v>189</v>
      </c>
      <c r="V137" t="s">
        <v>31</v>
      </c>
      <c r="W137" t="s">
        <v>31</v>
      </c>
      <c r="X137" t="s">
        <v>31</v>
      </c>
      <c r="Y137" t="s">
        <v>31</v>
      </c>
      <c r="Z137" t="s">
        <v>31</v>
      </c>
      <c r="AA137">
        <v>0</v>
      </c>
    </row>
    <row r="138" spans="1:27" x14ac:dyDescent="0.25">
      <c r="A138">
        <v>138</v>
      </c>
      <c r="B138" t="s">
        <v>27</v>
      </c>
      <c r="C138">
        <v>744</v>
      </c>
      <c r="D138" t="s">
        <v>53</v>
      </c>
      <c r="E138">
        <v>5118230100000100</v>
      </c>
      <c r="F138">
        <v>5118230100000100</v>
      </c>
      <c r="G138" t="s">
        <v>356</v>
      </c>
      <c r="H138" t="s">
        <v>357</v>
      </c>
      <c r="I138" t="s">
        <v>31</v>
      </c>
      <c r="J138" t="s">
        <v>30</v>
      </c>
      <c r="K138" t="s">
        <v>322</v>
      </c>
      <c r="L138" t="s">
        <v>31</v>
      </c>
      <c r="M138" t="s">
        <v>31</v>
      </c>
      <c r="N138" t="s">
        <v>31</v>
      </c>
      <c r="O138" t="s">
        <v>31</v>
      </c>
      <c r="P138" t="s">
        <v>31</v>
      </c>
      <c r="Q138" t="s">
        <v>31</v>
      </c>
      <c r="R138" t="s">
        <v>31</v>
      </c>
      <c r="S138" t="s">
        <v>31</v>
      </c>
      <c r="T138">
        <v>31</v>
      </c>
      <c r="U138">
        <v>39</v>
      </c>
      <c r="V138" t="s">
        <v>31</v>
      </c>
      <c r="W138" t="s">
        <v>31</v>
      </c>
      <c r="X138" t="s">
        <v>31</v>
      </c>
      <c r="Y138" t="s">
        <v>31</v>
      </c>
      <c r="Z138" t="s">
        <v>31</v>
      </c>
      <c r="AA138">
        <v>0</v>
      </c>
    </row>
    <row r="139" spans="1:27" x14ac:dyDescent="0.25">
      <c r="A139">
        <v>139</v>
      </c>
      <c r="B139" t="s">
        <v>27</v>
      </c>
      <c r="C139">
        <v>708</v>
      </c>
      <c r="D139" t="s">
        <v>53</v>
      </c>
      <c r="E139">
        <v>5118230020050100</v>
      </c>
      <c r="F139">
        <v>5118230020050100</v>
      </c>
      <c r="G139" t="s">
        <v>358</v>
      </c>
      <c r="H139" t="s">
        <v>359</v>
      </c>
      <c r="I139" t="s">
        <v>31</v>
      </c>
      <c r="J139" t="s">
        <v>30</v>
      </c>
      <c r="K139" t="s">
        <v>360</v>
      </c>
      <c r="L139" t="s">
        <v>31</v>
      </c>
      <c r="M139" t="s">
        <v>31</v>
      </c>
      <c r="N139" t="s">
        <v>31</v>
      </c>
      <c r="O139" t="s">
        <v>31</v>
      </c>
      <c r="P139" t="s">
        <v>31</v>
      </c>
      <c r="Q139" t="s">
        <v>31</v>
      </c>
      <c r="R139" t="s">
        <v>31</v>
      </c>
      <c r="S139" t="s">
        <v>31</v>
      </c>
      <c r="T139">
        <v>83</v>
      </c>
      <c r="U139">
        <v>136</v>
      </c>
      <c r="V139" t="s">
        <v>31</v>
      </c>
      <c r="W139" t="s">
        <v>31</v>
      </c>
      <c r="X139" t="s">
        <v>31</v>
      </c>
      <c r="Y139" t="s">
        <v>31</v>
      </c>
      <c r="Z139" t="s">
        <v>31</v>
      </c>
      <c r="AA139">
        <v>0</v>
      </c>
    </row>
    <row r="140" spans="1:27" x14ac:dyDescent="0.25">
      <c r="A140">
        <v>140</v>
      </c>
      <c r="B140" t="s">
        <v>27</v>
      </c>
      <c r="C140">
        <v>752</v>
      </c>
      <c r="D140" t="s">
        <v>53</v>
      </c>
      <c r="E140">
        <v>5118230100060100</v>
      </c>
      <c r="F140">
        <v>5118230100060100</v>
      </c>
      <c r="G140" t="s">
        <v>361</v>
      </c>
      <c r="H140" t="s">
        <v>362</v>
      </c>
      <c r="I140" t="s">
        <v>31</v>
      </c>
      <c r="J140" t="s">
        <v>30</v>
      </c>
      <c r="K140" t="s">
        <v>363</v>
      </c>
      <c r="L140" t="s">
        <v>31</v>
      </c>
      <c r="M140" t="s">
        <v>31</v>
      </c>
      <c r="N140" t="s">
        <v>31</v>
      </c>
      <c r="O140" t="s">
        <v>31</v>
      </c>
      <c r="P140" t="s">
        <v>31</v>
      </c>
      <c r="Q140" t="s">
        <v>31</v>
      </c>
      <c r="R140" t="s">
        <v>31</v>
      </c>
      <c r="S140" t="s">
        <v>31</v>
      </c>
      <c r="T140">
        <v>24</v>
      </c>
      <c r="U140">
        <v>34</v>
      </c>
      <c r="V140" t="s">
        <v>31</v>
      </c>
      <c r="W140" t="s">
        <v>31</v>
      </c>
      <c r="X140" t="s">
        <v>31</v>
      </c>
      <c r="Y140" t="s">
        <v>31</v>
      </c>
      <c r="Z140" t="s">
        <v>31</v>
      </c>
      <c r="AA140">
        <v>0</v>
      </c>
    </row>
    <row r="141" spans="1:27" x14ac:dyDescent="0.25">
      <c r="A141">
        <v>141</v>
      </c>
      <c r="B141" t="s">
        <v>27</v>
      </c>
      <c r="C141">
        <v>913</v>
      </c>
      <c r="D141" t="s">
        <v>41</v>
      </c>
      <c r="E141">
        <v>5118230410000100</v>
      </c>
      <c r="F141">
        <v>5118230410000100</v>
      </c>
      <c r="G141" t="s">
        <v>364</v>
      </c>
      <c r="H141" t="s">
        <v>365</v>
      </c>
      <c r="I141" t="s">
        <v>31</v>
      </c>
      <c r="J141" t="s">
        <v>30</v>
      </c>
      <c r="K141" t="s">
        <v>366</v>
      </c>
      <c r="L141" t="s">
        <v>31</v>
      </c>
      <c r="M141" t="s">
        <v>31</v>
      </c>
      <c r="N141" t="s">
        <v>31</v>
      </c>
      <c r="O141" t="s">
        <v>31</v>
      </c>
      <c r="P141" t="s">
        <v>31</v>
      </c>
      <c r="Q141" t="s">
        <v>31</v>
      </c>
      <c r="R141" t="s">
        <v>31</v>
      </c>
      <c r="S141" t="s">
        <v>31</v>
      </c>
      <c r="T141">
        <v>10</v>
      </c>
      <c r="U141">
        <v>20</v>
      </c>
      <c r="V141" t="s">
        <v>31</v>
      </c>
      <c r="W141" t="s">
        <v>31</v>
      </c>
      <c r="X141" t="s">
        <v>31</v>
      </c>
      <c r="Y141" t="s">
        <v>31</v>
      </c>
      <c r="Z141" t="s">
        <v>31</v>
      </c>
      <c r="AA141">
        <v>0</v>
      </c>
    </row>
    <row r="142" spans="1:27" x14ac:dyDescent="0.25">
      <c r="A142">
        <v>142</v>
      </c>
      <c r="B142" t="s">
        <v>27</v>
      </c>
      <c r="C142">
        <v>709</v>
      </c>
      <c r="D142" t="s">
        <v>53</v>
      </c>
      <c r="E142">
        <v>5118230020060100</v>
      </c>
      <c r="F142">
        <v>5118230020060100</v>
      </c>
      <c r="G142" t="s">
        <v>367</v>
      </c>
      <c r="H142" t="s">
        <v>368</v>
      </c>
      <c r="I142" t="s">
        <v>31</v>
      </c>
      <c r="J142" t="s">
        <v>30</v>
      </c>
      <c r="K142" t="s">
        <v>360</v>
      </c>
      <c r="L142" t="s">
        <v>31</v>
      </c>
      <c r="M142" t="s">
        <v>31</v>
      </c>
      <c r="N142" t="s">
        <v>31</v>
      </c>
      <c r="O142" t="s">
        <v>31</v>
      </c>
      <c r="P142" t="s">
        <v>31</v>
      </c>
      <c r="Q142" t="s">
        <v>31</v>
      </c>
      <c r="R142" t="s">
        <v>31</v>
      </c>
      <c r="S142" t="s">
        <v>31</v>
      </c>
      <c r="T142">
        <v>43</v>
      </c>
      <c r="U142">
        <v>142</v>
      </c>
      <c r="V142" t="s">
        <v>31</v>
      </c>
      <c r="W142" t="s">
        <v>31</v>
      </c>
      <c r="X142" t="s">
        <v>31</v>
      </c>
      <c r="Y142" t="s">
        <v>31</v>
      </c>
      <c r="Z142" t="s">
        <v>31</v>
      </c>
      <c r="AA142">
        <v>0</v>
      </c>
    </row>
    <row r="143" spans="1:27" x14ac:dyDescent="0.25">
      <c r="A143">
        <v>143</v>
      </c>
      <c r="B143" t="s">
        <v>27</v>
      </c>
      <c r="C143">
        <v>514</v>
      </c>
      <c r="D143" t="s">
        <v>53</v>
      </c>
      <c r="E143">
        <v>5118230000073000</v>
      </c>
      <c r="F143">
        <v>5118230000073000</v>
      </c>
      <c r="G143" t="s">
        <v>369</v>
      </c>
      <c r="H143">
        <v>73</v>
      </c>
      <c r="I143">
        <v>6253030073</v>
      </c>
      <c r="J143" t="s">
        <v>30</v>
      </c>
      <c r="K143" t="s">
        <v>370</v>
      </c>
      <c r="L143" t="s">
        <v>31</v>
      </c>
      <c r="M143" t="s">
        <v>31</v>
      </c>
      <c r="N143">
        <v>0</v>
      </c>
      <c r="O143" t="s">
        <v>59</v>
      </c>
      <c r="P143" t="s">
        <v>317</v>
      </c>
      <c r="Q143" t="s">
        <v>47</v>
      </c>
      <c r="R143" t="s">
        <v>61</v>
      </c>
      <c r="S143" t="s">
        <v>31</v>
      </c>
      <c r="T143">
        <v>85</v>
      </c>
      <c r="U143">
        <v>110</v>
      </c>
      <c r="V143" t="s">
        <v>52</v>
      </c>
      <c r="W143" t="s">
        <v>52</v>
      </c>
      <c r="X143" t="s">
        <v>85</v>
      </c>
      <c r="Y143">
        <v>0</v>
      </c>
      <c r="Z143" t="s">
        <v>40</v>
      </c>
      <c r="AA143">
        <v>108</v>
      </c>
    </row>
    <row r="144" spans="1:27" x14ac:dyDescent="0.25">
      <c r="A144">
        <v>144</v>
      </c>
      <c r="B144" t="s">
        <v>27</v>
      </c>
      <c r="C144">
        <v>751</v>
      </c>
      <c r="D144" t="s">
        <v>53</v>
      </c>
      <c r="E144">
        <v>5118230100050100</v>
      </c>
      <c r="F144">
        <v>5118230100050100</v>
      </c>
      <c r="G144" t="s">
        <v>371</v>
      </c>
      <c r="H144" t="s">
        <v>372</v>
      </c>
      <c r="I144" t="s">
        <v>31</v>
      </c>
      <c r="J144" t="s">
        <v>30</v>
      </c>
      <c r="K144" t="s">
        <v>363</v>
      </c>
      <c r="L144" t="s">
        <v>31</v>
      </c>
      <c r="M144" t="s">
        <v>31</v>
      </c>
      <c r="N144" t="s">
        <v>31</v>
      </c>
      <c r="O144" t="s">
        <v>31</v>
      </c>
      <c r="P144" t="s">
        <v>31</v>
      </c>
      <c r="Q144" t="s">
        <v>31</v>
      </c>
      <c r="R144" t="s">
        <v>31</v>
      </c>
      <c r="S144" t="s">
        <v>31</v>
      </c>
      <c r="T144">
        <v>86</v>
      </c>
      <c r="U144">
        <v>227</v>
      </c>
      <c r="V144" t="s">
        <v>31</v>
      </c>
      <c r="W144" t="s">
        <v>31</v>
      </c>
      <c r="X144" t="s">
        <v>31</v>
      </c>
      <c r="Y144" t="s">
        <v>31</v>
      </c>
      <c r="Z144" t="s">
        <v>31</v>
      </c>
      <c r="AA144">
        <v>0</v>
      </c>
    </row>
    <row r="145" spans="1:27" x14ac:dyDescent="0.25">
      <c r="A145">
        <v>145</v>
      </c>
      <c r="B145" t="s">
        <v>27</v>
      </c>
      <c r="C145">
        <v>462</v>
      </c>
      <c r="D145" t="s">
        <v>53</v>
      </c>
      <c r="E145">
        <v>5118230000021000</v>
      </c>
      <c r="F145">
        <v>5118230000021000</v>
      </c>
      <c r="G145" t="s">
        <v>373</v>
      </c>
      <c r="H145">
        <v>21</v>
      </c>
      <c r="I145">
        <v>6253070022</v>
      </c>
      <c r="J145" t="s">
        <v>30</v>
      </c>
      <c r="K145" t="s">
        <v>374</v>
      </c>
      <c r="L145" t="s">
        <v>31</v>
      </c>
      <c r="M145" t="s">
        <v>31</v>
      </c>
      <c r="N145">
        <v>0</v>
      </c>
      <c r="O145" t="s">
        <v>31</v>
      </c>
      <c r="P145" t="s">
        <v>375</v>
      </c>
      <c r="Q145" t="s">
        <v>98</v>
      </c>
      <c r="R145" t="s">
        <v>31</v>
      </c>
      <c r="S145" t="s">
        <v>31</v>
      </c>
      <c r="T145">
        <v>9</v>
      </c>
      <c r="U145">
        <v>20</v>
      </c>
      <c r="V145" t="s">
        <v>31</v>
      </c>
      <c r="W145" t="s">
        <v>37</v>
      </c>
      <c r="X145" t="s">
        <v>39</v>
      </c>
      <c r="Y145">
        <v>0</v>
      </c>
      <c r="Z145" t="s">
        <v>40</v>
      </c>
      <c r="AA145">
        <v>0</v>
      </c>
    </row>
    <row r="146" spans="1:27" x14ac:dyDescent="0.25">
      <c r="A146">
        <v>146</v>
      </c>
      <c r="B146" t="s">
        <v>27</v>
      </c>
      <c r="C146">
        <v>706</v>
      </c>
      <c r="D146" t="s">
        <v>53</v>
      </c>
      <c r="E146">
        <v>5118230020030100</v>
      </c>
      <c r="F146">
        <v>5118230020030100</v>
      </c>
      <c r="G146" t="s">
        <v>376</v>
      </c>
      <c r="H146" t="s">
        <v>377</v>
      </c>
      <c r="I146" t="s">
        <v>31</v>
      </c>
      <c r="J146" t="s">
        <v>30</v>
      </c>
      <c r="K146" t="s">
        <v>378</v>
      </c>
      <c r="L146" t="s">
        <v>31</v>
      </c>
      <c r="M146" t="s">
        <v>31</v>
      </c>
      <c r="N146" t="s">
        <v>31</v>
      </c>
      <c r="O146" t="s">
        <v>31</v>
      </c>
      <c r="P146" t="s">
        <v>31</v>
      </c>
      <c r="Q146" t="s">
        <v>31</v>
      </c>
      <c r="R146" t="s">
        <v>31</v>
      </c>
      <c r="S146" t="s">
        <v>31</v>
      </c>
      <c r="T146">
        <v>10</v>
      </c>
      <c r="U146">
        <v>14</v>
      </c>
      <c r="V146" t="s">
        <v>31</v>
      </c>
      <c r="W146" t="s">
        <v>31</v>
      </c>
      <c r="X146" t="s">
        <v>31</v>
      </c>
      <c r="Y146" t="s">
        <v>31</v>
      </c>
      <c r="Z146" t="s">
        <v>31</v>
      </c>
      <c r="AA146">
        <v>0</v>
      </c>
    </row>
    <row r="147" spans="1:27" x14ac:dyDescent="0.25">
      <c r="A147">
        <v>147</v>
      </c>
      <c r="B147" t="s">
        <v>27</v>
      </c>
      <c r="C147">
        <v>463</v>
      </c>
      <c r="D147" t="s">
        <v>53</v>
      </c>
      <c r="E147">
        <v>5118230000022000</v>
      </c>
      <c r="F147">
        <v>5118230000022000</v>
      </c>
      <c r="G147" t="s">
        <v>379</v>
      </c>
      <c r="H147">
        <v>22</v>
      </c>
      <c r="I147">
        <v>6253070021</v>
      </c>
      <c r="J147" t="s">
        <v>30</v>
      </c>
      <c r="K147" t="s">
        <v>374</v>
      </c>
      <c r="L147" t="s">
        <v>31</v>
      </c>
      <c r="M147" t="s">
        <v>31</v>
      </c>
      <c r="N147">
        <v>0</v>
      </c>
      <c r="O147" t="s">
        <v>59</v>
      </c>
      <c r="P147" t="s">
        <v>118</v>
      </c>
      <c r="Q147" t="s">
        <v>98</v>
      </c>
      <c r="R147" t="s">
        <v>31</v>
      </c>
      <c r="S147" t="s">
        <v>31</v>
      </c>
      <c r="T147">
        <v>250</v>
      </c>
      <c r="U147">
        <v>250</v>
      </c>
      <c r="V147" t="s">
        <v>37</v>
      </c>
      <c r="W147" t="s">
        <v>38</v>
      </c>
      <c r="X147" t="s">
        <v>39</v>
      </c>
      <c r="Y147">
        <v>0</v>
      </c>
      <c r="Z147" t="s">
        <v>40</v>
      </c>
      <c r="AA147">
        <v>0</v>
      </c>
    </row>
    <row r="148" spans="1:27" x14ac:dyDescent="0.25">
      <c r="A148">
        <v>148</v>
      </c>
      <c r="B148" t="s">
        <v>27</v>
      </c>
      <c r="C148">
        <v>450</v>
      </c>
      <c r="D148" t="s">
        <v>53</v>
      </c>
      <c r="E148">
        <v>5118230000009000</v>
      </c>
      <c r="F148">
        <v>5118230000009000</v>
      </c>
      <c r="G148" t="s">
        <v>380</v>
      </c>
      <c r="H148">
        <v>9</v>
      </c>
      <c r="I148">
        <v>6253070009</v>
      </c>
      <c r="J148" t="s">
        <v>30</v>
      </c>
      <c r="K148" t="s">
        <v>381</v>
      </c>
      <c r="L148" t="s">
        <v>31</v>
      </c>
      <c r="M148" t="s">
        <v>31</v>
      </c>
      <c r="N148">
        <v>0</v>
      </c>
      <c r="O148" t="s">
        <v>110</v>
      </c>
      <c r="P148" t="s">
        <v>81</v>
      </c>
      <c r="Q148" t="s">
        <v>47</v>
      </c>
      <c r="R148" t="s">
        <v>61</v>
      </c>
      <c r="S148" t="s">
        <v>61</v>
      </c>
      <c r="T148">
        <v>23</v>
      </c>
      <c r="U148">
        <v>60</v>
      </c>
      <c r="V148" t="s">
        <v>31</v>
      </c>
      <c r="W148" t="s">
        <v>52</v>
      </c>
      <c r="X148" t="s">
        <v>39</v>
      </c>
      <c r="Y148">
        <v>0</v>
      </c>
      <c r="Z148" t="s">
        <v>40</v>
      </c>
      <c r="AA148">
        <v>0</v>
      </c>
    </row>
    <row r="149" spans="1:27" x14ac:dyDescent="0.25">
      <c r="A149">
        <v>149</v>
      </c>
      <c r="B149" t="s">
        <v>27</v>
      </c>
      <c r="C149">
        <v>444</v>
      </c>
      <c r="D149" t="s">
        <v>53</v>
      </c>
      <c r="E149">
        <v>5118230000003000</v>
      </c>
      <c r="F149">
        <v>5118230000003000</v>
      </c>
      <c r="G149" t="s">
        <v>382</v>
      </c>
      <c r="H149">
        <v>3</v>
      </c>
      <c r="I149">
        <v>6253000003</v>
      </c>
      <c r="J149" t="s">
        <v>30</v>
      </c>
      <c r="K149" t="s">
        <v>383</v>
      </c>
      <c r="L149" t="s">
        <v>31</v>
      </c>
      <c r="M149" t="s">
        <v>31</v>
      </c>
      <c r="N149">
        <v>0</v>
      </c>
      <c r="O149" t="s">
        <v>31</v>
      </c>
      <c r="P149" t="s">
        <v>384</v>
      </c>
      <c r="Q149" t="s">
        <v>47</v>
      </c>
      <c r="R149" t="s">
        <v>61</v>
      </c>
      <c r="S149" t="s">
        <v>31</v>
      </c>
      <c r="T149">
        <v>99</v>
      </c>
      <c r="U149">
        <v>630</v>
      </c>
      <c r="V149" t="s">
        <v>37</v>
      </c>
      <c r="W149" t="s">
        <v>38</v>
      </c>
      <c r="X149" t="s">
        <v>115</v>
      </c>
      <c r="Y149">
        <v>0</v>
      </c>
      <c r="Z149" t="s">
        <v>385</v>
      </c>
      <c r="AA149">
        <v>0</v>
      </c>
    </row>
    <row r="150" spans="1:27" x14ac:dyDescent="0.25">
      <c r="A150">
        <v>150</v>
      </c>
      <c r="B150" t="s">
        <v>27</v>
      </c>
      <c r="C150">
        <v>707</v>
      </c>
      <c r="D150" t="s">
        <v>53</v>
      </c>
      <c r="E150">
        <v>5118230020040100</v>
      </c>
      <c r="F150">
        <v>5118230020040100</v>
      </c>
      <c r="G150" t="s">
        <v>386</v>
      </c>
      <c r="H150" t="s">
        <v>387</v>
      </c>
      <c r="I150" t="s">
        <v>31</v>
      </c>
      <c r="J150" t="s">
        <v>30</v>
      </c>
      <c r="K150" t="s">
        <v>378</v>
      </c>
      <c r="L150" t="s">
        <v>31</v>
      </c>
      <c r="M150" t="s">
        <v>31</v>
      </c>
      <c r="N150" t="s">
        <v>31</v>
      </c>
      <c r="O150" t="s">
        <v>31</v>
      </c>
      <c r="P150" t="s">
        <v>31</v>
      </c>
      <c r="Q150" t="s">
        <v>31</v>
      </c>
      <c r="R150" t="s">
        <v>31</v>
      </c>
      <c r="S150" t="s">
        <v>31</v>
      </c>
      <c r="T150">
        <v>68</v>
      </c>
      <c r="U150">
        <v>83</v>
      </c>
      <c r="V150" t="s">
        <v>31</v>
      </c>
      <c r="W150" t="s">
        <v>31</v>
      </c>
      <c r="X150" t="s">
        <v>31</v>
      </c>
      <c r="Y150" t="s">
        <v>31</v>
      </c>
      <c r="Z150" t="s">
        <v>31</v>
      </c>
      <c r="AA150">
        <v>0</v>
      </c>
    </row>
    <row r="151" spans="1:27" x14ac:dyDescent="0.25">
      <c r="A151">
        <v>151</v>
      </c>
      <c r="B151" t="s">
        <v>27</v>
      </c>
      <c r="C151">
        <v>449</v>
      </c>
      <c r="D151" t="s">
        <v>53</v>
      </c>
      <c r="E151">
        <v>5118230000008000</v>
      </c>
      <c r="F151">
        <v>5118230000008000</v>
      </c>
      <c r="G151" t="s">
        <v>388</v>
      </c>
      <c r="H151">
        <v>8</v>
      </c>
      <c r="I151">
        <v>6253070008</v>
      </c>
      <c r="J151" t="s">
        <v>30</v>
      </c>
      <c r="K151" t="s">
        <v>389</v>
      </c>
      <c r="L151" t="s">
        <v>31</v>
      </c>
      <c r="M151" t="s">
        <v>31</v>
      </c>
      <c r="N151">
        <v>0</v>
      </c>
      <c r="O151" t="s">
        <v>59</v>
      </c>
      <c r="P151" t="s">
        <v>390</v>
      </c>
      <c r="Q151" t="s">
        <v>47</v>
      </c>
      <c r="R151" t="s">
        <v>31</v>
      </c>
      <c r="S151" t="s">
        <v>31</v>
      </c>
      <c r="T151">
        <v>65</v>
      </c>
      <c r="U151">
        <v>160</v>
      </c>
      <c r="V151" t="s">
        <v>52</v>
      </c>
      <c r="W151" t="s">
        <v>52</v>
      </c>
      <c r="X151" t="s">
        <v>39</v>
      </c>
      <c r="Y151">
        <v>0</v>
      </c>
      <c r="Z151" t="s">
        <v>40</v>
      </c>
      <c r="AA151">
        <v>0</v>
      </c>
    </row>
    <row r="152" spans="1:27" x14ac:dyDescent="0.25">
      <c r="A152">
        <v>152</v>
      </c>
      <c r="B152" t="s">
        <v>27</v>
      </c>
      <c r="C152">
        <v>721</v>
      </c>
      <c r="D152" t="s">
        <v>28</v>
      </c>
      <c r="E152">
        <v>5118230060000100</v>
      </c>
      <c r="F152">
        <v>5118230060000100</v>
      </c>
      <c r="G152" t="s">
        <v>391</v>
      </c>
      <c r="H152" t="s">
        <v>392</v>
      </c>
      <c r="I152" t="s">
        <v>31</v>
      </c>
      <c r="J152" t="s">
        <v>30</v>
      </c>
      <c r="K152" t="s">
        <v>393</v>
      </c>
      <c r="L152" t="s">
        <v>31</v>
      </c>
      <c r="M152" t="s">
        <v>31</v>
      </c>
      <c r="N152" t="s">
        <v>31</v>
      </c>
      <c r="O152" t="s">
        <v>31</v>
      </c>
      <c r="P152" t="s">
        <v>31</v>
      </c>
      <c r="Q152" t="s">
        <v>31</v>
      </c>
      <c r="R152" t="s">
        <v>31</v>
      </c>
      <c r="S152" t="s">
        <v>31</v>
      </c>
      <c r="T152">
        <v>37</v>
      </c>
      <c r="U152">
        <v>45</v>
      </c>
      <c r="V152" t="s">
        <v>31</v>
      </c>
      <c r="W152" t="s">
        <v>31</v>
      </c>
      <c r="X152" t="s">
        <v>31</v>
      </c>
      <c r="Y152" t="s">
        <v>31</v>
      </c>
      <c r="Z152" t="s">
        <v>31</v>
      </c>
      <c r="AA152">
        <v>0</v>
      </c>
    </row>
    <row r="153" spans="1:27" x14ac:dyDescent="0.25">
      <c r="A153">
        <v>153</v>
      </c>
      <c r="B153" t="s">
        <v>27</v>
      </c>
      <c r="C153">
        <v>508</v>
      </c>
      <c r="D153" t="s">
        <v>53</v>
      </c>
      <c r="E153">
        <v>5118230000067000</v>
      </c>
      <c r="F153">
        <v>5118230000067000</v>
      </c>
      <c r="G153" t="s">
        <v>394</v>
      </c>
      <c r="H153">
        <v>67</v>
      </c>
      <c r="I153">
        <v>6253060067</v>
      </c>
      <c r="J153" t="s">
        <v>30</v>
      </c>
      <c r="K153" t="s">
        <v>395</v>
      </c>
      <c r="L153" t="s">
        <v>31</v>
      </c>
      <c r="M153" t="s">
        <v>31</v>
      </c>
      <c r="N153">
        <v>0</v>
      </c>
      <c r="O153" t="s">
        <v>31</v>
      </c>
      <c r="P153" t="s">
        <v>155</v>
      </c>
      <c r="Q153" t="s">
        <v>47</v>
      </c>
      <c r="R153" t="s">
        <v>61</v>
      </c>
      <c r="S153" t="s">
        <v>61</v>
      </c>
      <c r="T153">
        <v>150</v>
      </c>
      <c r="U153">
        <v>200</v>
      </c>
      <c r="V153" t="s">
        <v>31</v>
      </c>
      <c r="W153" t="s">
        <v>38</v>
      </c>
      <c r="X153" t="s">
        <v>115</v>
      </c>
      <c r="Y153">
        <v>0</v>
      </c>
      <c r="Z153" t="s">
        <v>40</v>
      </c>
      <c r="AA153">
        <v>0</v>
      </c>
    </row>
    <row r="154" spans="1:27" x14ac:dyDescent="0.25">
      <c r="A154">
        <v>154</v>
      </c>
      <c r="B154" t="s">
        <v>27</v>
      </c>
      <c r="C154">
        <v>460</v>
      </c>
      <c r="D154" t="s">
        <v>53</v>
      </c>
      <c r="E154">
        <v>5118230000019000</v>
      </c>
      <c r="F154">
        <v>5118230000019000</v>
      </c>
      <c r="G154" t="s">
        <v>396</v>
      </c>
      <c r="H154">
        <v>19</v>
      </c>
      <c r="I154">
        <v>6253070019</v>
      </c>
      <c r="J154" t="s">
        <v>30</v>
      </c>
      <c r="K154" t="s">
        <v>397</v>
      </c>
      <c r="L154" t="s">
        <v>31</v>
      </c>
      <c r="M154" t="s">
        <v>31</v>
      </c>
      <c r="N154">
        <v>0</v>
      </c>
      <c r="O154" t="s">
        <v>59</v>
      </c>
      <c r="P154" t="s">
        <v>375</v>
      </c>
      <c r="Q154" t="s">
        <v>35</v>
      </c>
      <c r="R154" t="s">
        <v>31</v>
      </c>
      <c r="S154" t="s">
        <v>31</v>
      </c>
      <c r="T154">
        <v>31</v>
      </c>
      <c r="U154">
        <v>70</v>
      </c>
      <c r="V154" t="s">
        <v>52</v>
      </c>
      <c r="W154" t="s">
        <v>52</v>
      </c>
      <c r="X154" t="s">
        <v>39</v>
      </c>
      <c r="Y154">
        <v>0</v>
      </c>
      <c r="Z154" t="s">
        <v>40</v>
      </c>
      <c r="AA154">
        <v>10</v>
      </c>
    </row>
    <row r="155" spans="1:27" x14ac:dyDescent="0.25">
      <c r="A155">
        <v>155</v>
      </c>
      <c r="B155" t="s">
        <v>27</v>
      </c>
      <c r="C155">
        <v>461</v>
      </c>
      <c r="D155" t="s">
        <v>53</v>
      </c>
      <c r="E155">
        <v>5118230000020000</v>
      </c>
      <c r="F155">
        <v>5118230000020000</v>
      </c>
      <c r="G155" t="s">
        <v>398</v>
      </c>
      <c r="H155">
        <v>20</v>
      </c>
      <c r="I155">
        <v>6253070020</v>
      </c>
      <c r="J155" t="s">
        <v>30</v>
      </c>
      <c r="K155" t="s">
        <v>399</v>
      </c>
      <c r="L155" t="s">
        <v>31</v>
      </c>
      <c r="M155" t="s">
        <v>31</v>
      </c>
      <c r="N155">
        <v>0</v>
      </c>
      <c r="O155" t="s">
        <v>59</v>
      </c>
      <c r="P155" t="s">
        <v>84</v>
      </c>
      <c r="Q155" t="s">
        <v>35</v>
      </c>
      <c r="R155" t="s">
        <v>31</v>
      </c>
      <c r="S155" t="s">
        <v>31</v>
      </c>
      <c r="T155">
        <v>54</v>
      </c>
      <c r="U155">
        <v>110</v>
      </c>
      <c r="V155" t="s">
        <v>38</v>
      </c>
      <c r="W155" t="s">
        <v>52</v>
      </c>
      <c r="X155" t="s">
        <v>39</v>
      </c>
      <c r="Y155">
        <v>0</v>
      </c>
      <c r="Z155" t="s">
        <v>40</v>
      </c>
      <c r="AA155">
        <v>6</v>
      </c>
    </row>
    <row r="156" spans="1:27" x14ac:dyDescent="0.25">
      <c r="A156">
        <v>156</v>
      </c>
      <c r="B156" t="s">
        <v>27</v>
      </c>
      <c r="C156">
        <v>465</v>
      </c>
      <c r="D156" t="s">
        <v>53</v>
      </c>
      <c r="E156">
        <v>5118230000024000</v>
      </c>
      <c r="F156">
        <v>5118230000024000</v>
      </c>
      <c r="G156" t="s">
        <v>400</v>
      </c>
      <c r="H156">
        <v>24</v>
      </c>
      <c r="I156">
        <v>6253040024</v>
      </c>
      <c r="J156" t="s">
        <v>30</v>
      </c>
      <c r="K156" t="s">
        <v>401</v>
      </c>
      <c r="L156" t="s">
        <v>31</v>
      </c>
      <c r="M156" t="s">
        <v>31</v>
      </c>
      <c r="N156">
        <v>0</v>
      </c>
      <c r="O156" t="s">
        <v>31</v>
      </c>
      <c r="P156" t="s">
        <v>81</v>
      </c>
      <c r="Q156" t="s">
        <v>47</v>
      </c>
      <c r="R156" t="s">
        <v>61</v>
      </c>
      <c r="S156" t="s">
        <v>61</v>
      </c>
      <c r="T156">
        <v>63</v>
      </c>
      <c r="U156">
        <v>70</v>
      </c>
      <c r="V156" t="s">
        <v>31</v>
      </c>
      <c r="W156" t="s">
        <v>52</v>
      </c>
      <c r="X156" t="s">
        <v>115</v>
      </c>
      <c r="Y156">
        <v>0</v>
      </c>
      <c r="Z156" t="s">
        <v>40</v>
      </c>
      <c r="AA156">
        <v>0</v>
      </c>
    </row>
    <row r="157" spans="1:27" x14ac:dyDescent="0.25">
      <c r="A157">
        <v>157</v>
      </c>
      <c r="B157" t="s">
        <v>27</v>
      </c>
      <c r="C157">
        <v>698</v>
      </c>
      <c r="D157" t="s">
        <v>53</v>
      </c>
      <c r="E157">
        <v>5118230010010100</v>
      </c>
      <c r="F157">
        <v>5118230010010100</v>
      </c>
      <c r="G157" t="s">
        <v>351</v>
      </c>
      <c r="H157" t="s">
        <v>402</v>
      </c>
      <c r="I157" t="s">
        <v>31</v>
      </c>
      <c r="J157" t="s">
        <v>30</v>
      </c>
      <c r="K157" t="s">
        <v>403</v>
      </c>
      <c r="L157" t="s">
        <v>31</v>
      </c>
      <c r="M157" t="s">
        <v>31</v>
      </c>
      <c r="N157" t="s">
        <v>31</v>
      </c>
      <c r="O157" t="s">
        <v>31</v>
      </c>
      <c r="P157" t="s">
        <v>31</v>
      </c>
      <c r="Q157" t="s">
        <v>31</v>
      </c>
      <c r="R157" t="s">
        <v>31</v>
      </c>
      <c r="S157" t="s">
        <v>31</v>
      </c>
      <c r="T157">
        <v>339</v>
      </c>
      <c r="U157">
        <v>415</v>
      </c>
      <c r="V157" t="s">
        <v>31</v>
      </c>
      <c r="W157" t="s">
        <v>31</v>
      </c>
      <c r="X157" t="s">
        <v>31</v>
      </c>
      <c r="Y157" t="s">
        <v>31</v>
      </c>
      <c r="Z157" t="s">
        <v>31</v>
      </c>
      <c r="AA157">
        <v>0</v>
      </c>
    </row>
    <row r="158" spans="1:27" x14ac:dyDescent="0.25">
      <c r="A158">
        <v>158</v>
      </c>
      <c r="B158" t="s">
        <v>27</v>
      </c>
      <c r="C158">
        <v>710</v>
      </c>
      <c r="D158" t="s">
        <v>53</v>
      </c>
      <c r="E158">
        <v>5118230020070100</v>
      </c>
      <c r="F158">
        <v>5118230020070100</v>
      </c>
      <c r="G158" t="s">
        <v>404</v>
      </c>
      <c r="H158" t="s">
        <v>405</v>
      </c>
      <c r="I158" t="s">
        <v>31</v>
      </c>
      <c r="J158" t="s">
        <v>30</v>
      </c>
      <c r="K158" t="s">
        <v>406</v>
      </c>
      <c r="L158" t="s">
        <v>31</v>
      </c>
      <c r="M158" t="s">
        <v>31</v>
      </c>
      <c r="N158" t="s">
        <v>31</v>
      </c>
      <c r="O158" t="s">
        <v>31</v>
      </c>
      <c r="P158" t="s">
        <v>31</v>
      </c>
      <c r="Q158" t="s">
        <v>31</v>
      </c>
      <c r="R158" t="s">
        <v>31</v>
      </c>
      <c r="S158" t="s">
        <v>31</v>
      </c>
      <c r="T158">
        <v>32</v>
      </c>
      <c r="U158">
        <v>46</v>
      </c>
      <c r="V158" t="s">
        <v>31</v>
      </c>
      <c r="W158" t="s">
        <v>31</v>
      </c>
      <c r="X158" t="s">
        <v>31</v>
      </c>
      <c r="Y158" t="s">
        <v>31</v>
      </c>
      <c r="Z158" t="s">
        <v>31</v>
      </c>
      <c r="AA158">
        <v>0</v>
      </c>
    </row>
    <row r="159" spans="1:27" x14ac:dyDescent="0.25">
      <c r="A159">
        <v>159</v>
      </c>
      <c r="B159" t="s">
        <v>27</v>
      </c>
      <c r="C159">
        <v>765</v>
      </c>
      <c r="D159" t="s">
        <v>41</v>
      </c>
      <c r="E159">
        <v>5118230120000100</v>
      </c>
      <c r="F159">
        <v>5118230120000100</v>
      </c>
      <c r="G159" t="s">
        <v>407</v>
      </c>
      <c r="H159" t="s">
        <v>408</v>
      </c>
      <c r="I159" t="s">
        <v>31</v>
      </c>
      <c r="J159" t="s">
        <v>30</v>
      </c>
      <c r="K159" t="s">
        <v>409</v>
      </c>
      <c r="L159" t="s">
        <v>31</v>
      </c>
      <c r="M159" t="s">
        <v>31</v>
      </c>
      <c r="N159" t="s">
        <v>31</v>
      </c>
      <c r="O159" t="s">
        <v>31</v>
      </c>
      <c r="P159" t="s">
        <v>31</v>
      </c>
      <c r="Q159" t="s">
        <v>31</v>
      </c>
      <c r="R159" t="s">
        <v>31</v>
      </c>
      <c r="S159" t="s">
        <v>31</v>
      </c>
      <c r="T159">
        <v>0</v>
      </c>
      <c r="U159">
        <v>200</v>
      </c>
      <c r="V159" t="s">
        <v>31</v>
      </c>
      <c r="W159" t="s">
        <v>31</v>
      </c>
      <c r="X159" t="s">
        <v>31</v>
      </c>
      <c r="Y159" t="s">
        <v>31</v>
      </c>
      <c r="Z159" t="s">
        <v>31</v>
      </c>
      <c r="AA159">
        <v>0</v>
      </c>
    </row>
    <row r="160" spans="1:27" x14ac:dyDescent="0.25">
      <c r="A160">
        <v>160</v>
      </c>
      <c r="B160" t="s">
        <v>27</v>
      </c>
      <c r="C160">
        <v>456</v>
      </c>
      <c r="D160" t="s">
        <v>41</v>
      </c>
      <c r="E160">
        <v>5118230000015000</v>
      </c>
      <c r="F160">
        <v>5118230000015000</v>
      </c>
      <c r="G160" t="s">
        <v>407</v>
      </c>
      <c r="H160">
        <v>15</v>
      </c>
      <c r="I160">
        <v>6253070015</v>
      </c>
      <c r="J160" t="s">
        <v>30</v>
      </c>
      <c r="K160" t="s">
        <v>410</v>
      </c>
      <c r="L160" t="s">
        <v>31</v>
      </c>
      <c r="M160" t="s">
        <v>31</v>
      </c>
      <c r="N160">
        <v>0</v>
      </c>
      <c r="O160" t="s">
        <v>31</v>
      </c>
      <c r="P160" t="s">
        <v>31</v>
      </c>
      <c r="Q160" t="s">
        <v>31</v>
      </c>
      <c r="R160" t="s">
        <v>31</v>
      </c>
      <c r="S160" t="s">
        <v>31</v>
      </c>
      <c r="T160">
        <v>336</v>
      </c>
      <c r="U160">
        <v>100</v>
      </c>
      <c r="V160" t="s">
        <v>31</v>
      </c>
      <c r="W160" t="s">
        <v>38</v>
      </c>
      <c r="X160" t="s">
        <v>411</v>
      </c>
      <c r="Y160">
        <v>0</v>
      </c>
      <c r="Z160" t="s">
        <v>49</v>
      </c>
      <c r="AA160">
        <v>0</v>
      </c>
    </row>
    <row r="161" spans="1:27" x14ac:dyDescent="0.25">
      <c r="A161">
        <v>161</v>
      </c>
      <c r="B161" t="s">
        <v>27</v>
      </c>
      <c r="C161">
        <v>701</v>
      </c>
      <c r="D161" t="s">
        <v>53</v>
      </c>
      <c r="E161">
        <v>5118230010040100</v>
      </c>
      <c r="F161">
        <v>5118230010040100</v>
      </c>
      <c r="G161" t="s">
        <v>412</v>
      </c>
      <c r="H161" t="s">
        <v>413</v>
      </c>
      <c r="I161" t="s">
        <v>31</v>
      </c>
      <c r="J161" t="s">
        <v>30</v>
      </c>
      <c r="K161" t="s">
        <v>414</v>
      </c>
      <c r="L161" t="s">
        <v>31</v>
      </c>
      <c r="M161" t="s">
        <v>31</v>
      </c>
      <c r="N161" t="s">
        <v>31</v>
      </c>
      <c r="O161" t="s">
        <v>31</v>
      </c>
      <c r="P161" t="s">
        <v>31</v>
      </c>
      <c r="Q161" t="s">
        <v>31</v>
      </c>
      <c r="R161" t="s">
        <v>31</v>
      </c>
      <c r="S161" t="s">
        <v>31</v>
      </c>
      <c r="T161">
        <v>22</v>
      </c>
      <c r="U161">
        <v>27</v>
      </c>
      <c r="V161" t="s">
        <v>31</v>
      </c>
      <c r="W161" t="s">
        <v>31</v>
      </c>
      <c r="X161" t="s">
        <v>31</v>
      </c>
      <c r="Y161" t="s">
        <v>31</v>
      </c>
      <c r="Z161" t="s">
        <v>31</v>
      </c>
      <c r="AA161">
        <v>0</v>
      </c>
    </row>
    <row r="162" spans="1:27" x14ac:dyDescent="0.25">
      <c r="A162">
        <v>162</v>
      </c>
      <c r="B162" t="s">
        <v>27</v>
      </c>
      <c r="C162">
        <v>448</v>
      </c>
      <c r="D162" t="s">
        <v>53</v>
      </c>
      <c r="E162">
        <v>5118230000007000</v>
      </c>
      <c r="F162">
        <v>5118230000007000</v>
      </c>
      <c r="G162" t="s">
        <v>415</v>
      </c>
      <c r="H162">
        <v>7</v>
      </c>
      <c r="I162">
        <v>6253070007</v>
      </c>
      <c r="J162" t="s">
        <v>30</v>
      </c>
      <c r="K162" t="s">
        <v>416</v>
      </c>
      <c r="L162" t="s">
        <v>31</v>
      </c>
      <c r="M162" t="s">
        <v>31</v>
      </c>
      <c r="N162">
        <v>0</v>
      </c>
      <c r="O162" t="s">
        <v>31</v>
      </c>
      <c r="P162" t="s">
        <v>60</v>
      </c>
      <c r="Q162" t="s">
        <v>417</v>
      </c>
      <c r="R162" t="s">
        <v>31</v>
      </c>
      <c r="S162" t="s">
        <v>31</v>
      </c>
      <c r="T162">
        <v>13</v>
      </c>
      <c r="U162">
        <v>30</v>
      </c>
      <c r="V162" t="s">
        <v>52</v>
      </c>
      <c r="W162" t="s">
        <v>52</v>
      </c>
      <c r="X162" t="s">
        <v>39</v>
      </c>
      <c r="Y162">
        <v>0</v>
      </c>
      <c r="Z162" t="s">
        <v>40</v>
      </c>
      <c r="AA162">
        <v>60</v>
      </c>
    </row>
    <row r="163" spans="1:27" x14ac:dyDescent="0.25">
      <c r="A163">
        <v>163</v>
      </c>
      <c r="B163" t="s">
        <v>27</v>
      </c>
      <c r="C163">
        <v>467</v>
      </c>
      <c r="D163" t="s">
        <v>53</v>
      </c>
      <c r="E163">
        <v>5118230000026000</v>
      </c>
      <c r="F163">
        <v>5118230000026000</v>
      </c>
      <c r="G163" t="s">
        <v>418</v>
      </c>
      <c r="H163">
        <v>26</v>
      </c>
      <c r="I163">
        <v>6253040026</v>
      </c>
      <c r="J163" t="s">
        <v>30</v>
      </c>
      <c r="K163" t="s">
        <v>419</v>
      </c>
      <c r="L163" t="s">
        <v>31</v>
      </c>
      <c r="M163" t="s">
        <v>31</v>
      </c>
      <c r="N163">
        <v>0</v>
      </c>
      <c r="O163" t="s">
        <v>59</v>
      </c>
      <c r="P163" t="s">
        <v>84</v>
      </c>
      <c r="Q163" t="s">
        <v>47</v>
      </c>
      <c r="R163" t="s">
        <v>31</v>
      </c>
      <c r="S163" t="s">
        <v>61</v>
      </c>
      <c r="T163">
        <v>6</v>
      </c>
      <c r="U163">
        <v>10</v>
      </c>
      <c r="V163" t="s">
        <v>31</v>
      </c>
      <c r="W163" t="s">
        <v>37</v>
      </c>
      <c r="X163" t="s">
        <v>39</v>
      </c>
      <c r="Y163">
        <v>0</v>
      </c>
      <c r="Z163" t="s">
        <v>40</v>
      </c>
      <c r="AA163">
        <v>0</v>
      </c>
    </row>
    <row r="164" spans="1:27" x14ac:dyDescent="0.25">
      <c r="A164">
        <v>164</v>
      </c>
      <c r="B164" t="s">
        <v>27</v>
      </c>
      <c r="C164">
        <v>464</v>
      </c>
      <c r="D164" t="s">
        <v>53</v>
      </c>
      <c r="E164">
        <v>5118230000023000</v>
      </c>
      <c r="F164">
        <v>5118230000023000</v>
      </c>
      <c r="G164" t="s">
        <v>420</v>
      </c>
      <c r="H164">
        <v>23</v>
      </c>
      <c r="I164">
        <v>6253040023</v>
      </c>
      <c r="J164" t="s">
        <v>30</v>
      </c>
      <c r="K164" t="s">
        <v>401</v>
      </c>
      <c r="L164" t="s">
        <v>31</v>
      </c>
      <c r="M164" t="s">
        <v>31</v>
      </c>
      <c r="N164">
        <v>0</v>
      </c>
      <c r="O164" t="s">
        <v>31</v>
      </c>
      <c r="P164" t="s">
        <v>118</v>
      </c>
      <c r="Q164" t="s">
        <v>47</v>
      </c>
      <c r="R164" t="s">
        <v>31</v>
      </c>
      <c r="S164" t="s">
        <v>61</v>
      </c>
      <c r="T164">
        <v>21</v>
      </c>
      <c r="U164">
        <v>30</v>
      </c>
      <c r="V164" t="s">
        <v>31</v>
      </c>
      <c r="W164" t="s">
        <v>52</v>
      </c>
      <c r="X164" t="s">
        <v>421</v>
      </c>
      <c r="Y164">
        <v>0</v>
      </c>
      <c r="Z164" t="s">
        <v>40</v>
      </c>
      <c r="AA164">
        <v>0</v>
      </c>
    </row>
    <row r="165" spans="1:27" x14ac:dyDescent="0.25">
      <c r="A165">
        <v>165</v>
      </c>
      <c r="B165" t="s">
        <v>27</v>
      </c>
      <c r="C165">
        <v>588</v>
      </c>
      <c r="D165" t="s">
        <v>28</v>
      </c>
      <c r="E165">
        <v>5118230000148000</v>
      </c>
      <c r="F165">
        <v>5118230000148000</v>
      </c>
      <c r="G165" t="s">
        <v>422</v>
      </c>
      <c r="H165">
        <v>148</v>
      </c>
      <c r="I165">
        <v>6253040148</v>
      </c>
      <c r="J165" t="s">
        <v>30</v>
      </c>
      <c r="K165" t="s">
        <v>423</v>
      </c>
      <c r="L165" t="s">
        <v>31</v>
      </c>
      <c r="M165" t="s">
        <v>31</v>
      </c>
      <c r="N165">
        <v>0</v>
      </c>
      <c r="O165" t="s">
        <v>59</v>
      </c>
      <c r="P165" t="s">
        <v>424</v>
      </c>
      <c r="Q165" t="s">
        <v>47</v>
      </c>
      <c r="R165" t="s">
        <v>36</v>
      </c>
      <c r="S165" t="s">
        <v>36</v>
      </c>
      <c r="T165">
        <v>50</v>
      </c>
      <c r="U165">
        <v>200</v>
      </c>
      <c r="V165" t="s">
        <v>38</v>
      </c>
      <c r="W165" t="s">
        <v>52</v>
      </c>
      <c r="X165" t="s">
        <v>39</v>
      </c>
      <c r="Y165">
        <v>0</v>
      </c>
      <c r="Z165" t="s">
        <v>40</v>
      </c>
      <c r="AA165">
        <v>0</v>
      </c>
    </row>
    <row r="166" spans="1:27" x14ac:dyDescent="0.25">
      <c r="A166">
        <v>166</v>
      </c>
      <c r="B166" t="s">
        <v>27</v>
      </c>
      <c r="C166">
        <v>768</v>
      </c>
      <c r="D166" t="s">
        <v>53</v>
      </c>
      <c r="E166">
        <v>5118230120030100</v>
      </c>
      <c r="F166">
        <v>5118230120030100</v>
      </c>
      <c r="G166" t="s">
        <v>425</v>
      </c>
      <c r="H166" t="s">
        <v>426</v>
      </c>
      <c r="I166" t="s">
        <v>31</v>
      </c>
      <c r="J166" t="s">
        <v>30</v>
      </c>
      <c r="K166" t="s">
        <v>427</v>
      </c>
      <c r="L166" t="s">
        <v>31</v>
      </c>
      <c r="M166" t="s">
        <v>31</v>
      </c>
      <c r="N166" t="s">
        <v>31</v>
      </c>
      <c r="O166" t="s">
        <v>31</v>
      </c>
      <c r="P166" t="s">
        <v>31</v>
      </c>
      <c r="Q166" t="s">
        <v>31</v>
      </c>
      <c r="R166" t="s">
        <v>31</v>
      </c>
      <c r="S166" t="s">
        <v>31</v>
      </c>
      <c r="T166">
        <v>135</v>
      </c>
      <c r="U166">
        <v>197</v>
      </c>
      <c r="V166" t="s">
        <v>31</v>
      </c>
      <c r="W166" t="s">
        <v>31</v>
      </c>
      <c r="X166" t="s">
        <v>31</v>
      </c>
      <c r="Y166" t="s">
        <v>31</v>
      </c>
      <c r="Z166" t="s">
        <v>31</v>
      </c>
      <c r="AA166">
        <v>0</v>
      </c>
    </row>
    <row r="167" spans="1:27" x14ac:dyDescent="0.25">
      <c r="A167">
        <v>167</v>
      </c>
      <c r="B167" t="s">
        <v>27</v>
      </c>
      <c r="C167">
        <v>726</v>
      </c>
      <c r="D167" t="s">
        <v>41</v>
      </c>
      <c r="E167">
        <v>5118230070010100</v>
      </c>
      <c r="F167">
        <v>5118230070010100</v>
      </c>
      <c r="G167" t="s">
        <v>428</v>
      </c>
      <c r="H167" t="s">
        <v>429</v>
      </c>
      <c r="I167" t="s">
        <v>31</v>
      </c>
      <c r="J167" t="s">
        <v>30</v>
      </c>
      <c r="K167" t="s">
        <v>430</v>
      </c>
      <c r="L167" t="s">
        <v>31</v>
      </c>
      <c r="M167" t="s">
        <v>31</v>
      </c>
      <c r="N167" t="s">
        <v>31</v>
      </c>
      <c r="O167" t="s">
        <v>31</v>
      </c>
      <c r="P167" t="s">
        <v>31</v>
      </c>
      <c r="Q167" t="s">
        <v>31</v>
      </c>
      <c r="R167" t="s">
        <v>31</v>
      </c>
      <c r="S167" t="s">
        <v>31</v>
      </c>
      <c r="T167">
        <v>0</v>
      </c>
      <c r="U167">
        <v>100</v>
      </c>
      <c r="V167" t="s">
        <v>31</v>
      </c>
      <c r="W167" t="s">
        <v>31</v>
      </c>
      <c r="X167" t="s">
        <v>31</v>
      </c>
      <c r="Y167" t="s">
        <v>31</v>
      </c>
      <c r="Z167" t="s">
        <v>31</v>
      </c>
      <c r="AA167">
        <v>0</v>
      </c>
    </row>
    <row r="168" spans="1:27" x14ac:dyDescent="0.25">
      <c r="A168">
        <v>168</v>
      </c>
      <c r="B168" t="s">
        <v>27</v>
      </c>
      <c r="C168">
        <v>767</v>
      </c>
      <c r="D168" t="s">
        <v>53</v>
      </c>
      <c r="E168">
        <v>5118230120020100</v>
      </c>
      <c r="F168">
        <v>5118230120020100</v>
      </c>
      <c r="G168" t="s">
        <v>431</v>
      </c>
      <c r="H168" t="s">
        <v>432</v>
      </c>
      <c r="I168" t="s">
        <v>31</v>
      </c>
      <c r="J168" t="s">
        <v>30</v>
      </c>
      <c r="K168" t="s">
        <v>409</v>
      </c>
      <c r="L168" t="s">
        <v>31</v>
      </c>
      <c r="M168" t="s">
        <v>31</v>
      </c>
      <c r="N168" t="s">
        <v>31</v>
      </c>
      <c r="O168" t="s">
        <v>31</v>
      </c>
      <c r="P168" t="s">
        <v>31</v>
      </c>
      <c r="Q168" t="s">
        <v>31</v>
      </c>
      <c r="R168" t="s">
        <v>31</v>
      </c>
      <c r="S168" t="s">
        <v>31</v>
      </c>
      <c r="T168">
        <v>45</v>
      </c>
      <c r="U168">
        <v>111</v>
      </c>
      <c r="V168" t="s">
        <v>31</v>
      </c>
      <c r="W168" t="s">
        <v>31</v>
      </c>
      <c r="X168" t="s">
        <v>31</v>
      </c>
      <c r="Y168" t="s">
        <v>31</v>
      </c>
      <c r="Z168" t="s">
        <v>31</v>
      </c>
      <c r="AA168">
        <v>0</v>
      </c>
    </row>
    <row r="169" spans="1:27" x14ac:dyDescent="0.25">
      <c r="A169">
        <v>169</v>
      </c>
      <c r="B169" t="s">
        <v>27</v>
      </c>
      <c r="C169">
        <v>469</v>
      </c>
      <c r="D169" t="s">
        <v>53</v>
      </c>
      <c r="E169">
        <v>5118230000028000</v>
      </c>
      <c r="F169">
        <v>5118230000028000</v>
      </c>
      <c r="G169" t="s">
        <v>433</v>
      </c>
      <c r="H169">
        <v>28</v>
      </c>
      <c r="I169">
        <v>6253040028</v>
      </c>
      <c r="J169" t="s">
        <v>30</v>
      </c>
      <c r="K169" t="s">
        <v>434</v>
      </c>
      <c r="L169" t="s">
        <v>31</v>
      </c>
      <c r="M169" t="s">
        <v>31</v>
      </c>
      <c r="N169">
        <v>0</v>
      </c>
      <c r="O169" t="s">
        <v>31</v>
      </c>
      <c r="P169" t="s">
        <v>81</v>
      </c>
      <c r="Q169" t="s">
        <v>47</v>
      </c>
      <c r="R169" t="s">
        <v>61</v>
      </c>
      <c r="S169" t="s">
        <v>61</v>
      </c>
      <c r="T169">
        <v>1</v>
      </c>
      <c r="U169">
        <v>50</v>
      </c>
      <c r="V169" t="s">
        <v>31</v>
      </c>
      <c r="W169" t="s">
        <v>37</v>
      </c>
      <c r="X169" t="s">
        <v>115</v>
      </c>
      <c r="Y169">
        <v>0</v>
      </c>
      <c r="Z169" t="s">
        <v>40</v>
      </c>
      <c r="AA169">
        <v>0</v>
      </c>
    </row>
    <row r="170" spans="1:27" x14ac:dyDescent="0.25">
      <c r="A170">
        <v>170</v>
      </c>
      <c r="B170" t="s">
        <v>27</v>
      </c>
      <c r="C170">
        <v>700</v>
      </c>
      <c r="D170" t="s">
        <v>53</v>
      </c>
      <c r="E170">
        <v>5118230010030100</v>
      </c>
      <c r="F170">
        <v>5118230010030100</v>
      </c>
      <c r="G170" t="s">
        <v>435</v>
      </c>
      <c r="H170" t="s">
        <v>436</v>
      </c>
      <c r="I170" t="s">
        <v>31</v>
      </c>
      <c r="J170" t="s">
        <v>30</v>
      </c>
      <c r="K170" t="s">
        <v>437</v>
      </c>
      <c r="L170" t="s">
        <v>31</v>
      </c>
      <c r="M170" t="s">
        <v>31</v>
      </c>
      <c r="N170" t="s">
        <v>31</v>
      </c>
      <c r="O170" t="s">
        <v>31</v>
      </c>
      <c r="P170" t="s">
        <v>31</v>
      </c>
      <c r="Q170" t="s">
        <v>31</v>
      </c>
      <c r="R170" t="s">
        <v>31</v>
      </c>
      <c r="S170" t="s">
        <v>31</v>
      </c>
      <c r="T170">
        <v>17</v>
      </c>
      <c r="U170">
        <v>34</v>
      </c>
      <c r="V170" t="s">
        <v>31</v>
      </c>
      <c r="W170" t="s">
        <v>31</v>
      </c>
      <c r="X170" t="s">
        <v>31</v>
      </c>
      <c r="Y170" t="s">
        <v>31</v>
      </c>
      <c r="Z170" t="s">
        <v>31</v>
      </c>
      <c r="AA170">
        <v>0</v>
      </c>
    </row>
    <row r="171" spans="1:27" x14ac:dyDescent="0.25">
      <c r="A171">
        <v>171</v>
      </c>
      <c r="B171" t="s">
        <v>27</v>
      </c>
      <c r="C171">
        <v>452</v>
      </c>
      <c r="D171" t="s">
        <v>53</v>
      </c>
      <c r="E171">
        <v>5118230000011000</v>
      </c>
      <c r="F171">
        <v>5118230000011000</v>
      </c>
      <c r="G171" t="s">
        <v>438</v>
      </c>
      <c r="H171">
        <v>11</v>
      </c>
      <c r="I171">
        <v>6253070011</v>
      </c>
      <c r="J171" t="s">
        <v>30</v>
      </c>
      <c r="K171" t="s">
        <v>439</v>
      </c>
      <c r="L171" t="s">
        <v>31</v>
      </c>
      <c r="M171" t="s">
        <v>31</v>
      </c>
      <c r="N171">
        <v>0</v>
      </c>
      <c r="O171" t="s">
        <v>126</v>
      </c>
      <c r="P171" t="s">
        <v>118</v>
      </c>
      <c r="Q171" t="s">
        <v>47</v>
      </c>
      <c r="R171" t="s">
        <v>31</v>
      </c>
      <c r="S171" t="s">
        <v>31</v>
      </c>
      <c r="T171">
        <v>12</v>
      </c>
      <c r="U171">
        <v>10</v>
      </c>
      <c r="V171" t="s">
        <v>31</v>
      </c>
      <c r="W171" t="s">
        <v>52</v>
      </c>
      <c r="X171" t="s">
        <v>39</v>
      </c>
      <c r="Y171">
        <v>0</v>
      </c>
      <c r="Z171" t="s">
        <v>40</v>
      </c>
      <c r="AA171">
        <v>0</v>
      </c>
    </row>
    <row r="172" spans="1:27" x14ac:dyDescent="0.25">
      <c r="A172">
        <v>172</v>
      </c>
      <c r="B172" t="s">
        <v>27</v>
      </c>
      <c r="C172">
        <v>446</v>
      </c>
      <c r="D172" t="s">
        <v>53</v>
      </c>
      <c r="E172">
        <v>5118230000005000</v>
      </c>
      <c r="F172">
        <v>5118230000005000</v>
      </c>
      <c r="G172" t="s">
        <v>440</v>
      </c>
      <c r="H172">
        <v>5</v>
      </c>
      <c r="I172">
        <v>6253000005</v>
      </c>
      <c r="J172" t="s">
        <v>30</v>
      </c>
      <c r="K172" t="s">
        <v>441</v>
      </c>
      <c r="L172" t="s">
        <v>31</v>
      </c>
      <c r="M172" t="s">
        <v>31</v>
      </c>
      <c r="N172">
        <v>0</v>
      </c>
      <c r="O172" t="s">
        <v>31</v>
      </c>
      <c r="P172" t="s">
        <v>442</v>
      </c>
      <c r="Q172" t="s">
        <v>47</v>
      </c>
      <c r="R172" t="s">
        <v>61</v>
      </c>
      <c r="S172" t="s">
        <v>31</v>
      </c>
      <c r="T172">
        <v>51</v>
      </c>
      <c r="U172">
        <v>105</v>
      </c>
      <c r="V172" t="s">
        <v>31</v>
      </c>
      <c r="W172" t="s">
        <v>52</v>
      </c>
      <c r="X172" t="s">
        <v>443</v>
      </c>
      <c r="Y172">
        <v>0</v>
      </c>
      <c r="Z172" t="s">
        <v>40</v>
      </c>
      <c r="AA172">
        <v>0</v>
      </c>
    </row>
    <row r="173" spans="1:27" x14ac:dyDescent="0.25">
      <c r="A173">
        <v>173</v>
      </c>
      <c r="B173" t="s">
        <v>27</v>
      </c>
      <c r="C173">
        <v>770</v>
      </c>
      <c r="D173" t="s">
        <v>53</v>
      </c>
      <c r="E173">
        <v>5118230120050100</v>
      </c>
      <c r="F173">
        <v>5118230120050100</v>
      </c>
      <c r="G173" t="s">
        <v>440</v>
      </c>
      <c r="H173" t="s">
        <v>444</v>
      </c>
      <c r="I173" t="s">
        <v>31</v>
      </c>
      <c r="J173" t="s">
        <v>30</v>
      </c>
      <c r="K173" t="s">
        <v>409</v>
      </c>
      <c r="L173" t="s">
        <v>31</v>
      </c>
      <c r="M173" t="s">
        <v>31</v>
      </c>
      <c r="N173" t="s">
        <v>31</v>
      </c>
      <c r="O173" t="s">
        <v>31</v>
      </c>
      <c r="P173" t="s">
        <v>31</v>
      </c>
      <c r="Q173" t="s">
        <v>31</v>
      </c>
      <c r="R173" t="s">
        <v>31</v>
      </c>
      <c r="S173" t="s">
        <v>31</v>
      </c>
      <c r="T173">
        <v>0</v>
      </c>
      <c r="U173">
        <v>0</v>
      </c>
      <c r="V173" t="s">
        <v>31</v>
      </c>
      <c r="W173" t="s">
        <v>31</v>
      </c>
      <c r="X173" t="s">
        <v>31</v>
      </c>
      <c r="Y173" t="s">
        <v>31</v>
      </c>
      <c r="Z173" t="s">
        <v>31</v>
      </c>
      <c r="AA173">
        <v>0</v>
      </c>
    </row>
    <row r="174" spans="1:27" x14ac:dyDescent="0.25">
      <c r="A174">
        <v>174</v>
      </c>
      <c r="B174" t="s">
        <v>27</v>
      </c>
      <c r="C174">
        <v>711</v>
      </c>
      <c r="D174" t="s">
        <v>53</v>
      </c>
      <c r="E174">
        <v>5118230020080100</v>
      </c>
      <c r="F174">
        <v>5118230020080100</v>
      </c>
      <c r="G174" t="s">
        <v>445</v>
      </c>
      <c r="H174" t="s">
        <v>446</v>
      </c>
      <c r="I174" t="s">
        <v>31</v>
      </c>
      <c r="J174" t="s">
        <v>30</v>
      </c>
      <c r="K174" t="s">
        <v>406</v>
      </c>
      <c r="L174" t="s">
        <v>31</v>
      </c>
      <c r="M174" t="s">
        <v>31</v>
      </c>
      <c r="N174" t="s">
        <v>31</v>
      </c>
      <c r="O174" t="s">
        <v>31</v>
      </c>
      <c r="P174" t="s">
        <v>31</v>
      </c>
      <c r="Q174" t="s">
        <v>31</v>
      </c>
      <c r="R174" t="s">
        <v>31</v>
      </c>
      <c r="S174" t="s">
        <v>31</v>
      </c>
      <c r="T174">
        <v>155</v>
      </c>
      <c r="U174">
        <v>200</v>
      </c>
      <c r="V174" t="s">
        <v>31</v>
      </c>
      <c r="W174" t="s">
        <v>31</v>
      </c>
      <c r="X174" t="s">
        <v>31</v>
      </c>
      <c r="Y174" t="s">
        <v>31</v>
      </c>
      <c r="Z174" t="s">
        <v>31</v>
      </c>
      <c r="AA174">
        <v>0</v>
      </c>
    </row>
    <row r="175" spans="1:27" x14ac:dyDescent="0.25">
      <c r="A175">
        <v>175</v>
      </c>
      <c r="B175" t="s">
        <v>27</v>
      </c>
      <c r="C175">
        <v>470</v>
      </c>
      <c r="D175" t="s">
        <v>53</v>
      </c>
      <c r="E175">
        <v>5118230000029000</v>
      </c>
      <c r="F175">
        <v>5118230000029000</v>
      </c>
      <c r="G175" t="s">
        <v>447</v>
      </c>
      <c r="H175">
        <v>29</v>
      </c>
      <c r="I175">
        <v>6253040029</v>
      </c>
      <c r="J175" t="s">
        <v>30</v>
      </c>
      <c r="K175" t="s">
        <v>448</v>
      </c>
      <c r="L175" t="s">
        <v>31</v>
      </c>
      <c r="M175" t="s">
        <v>31</v>
      </c>
      <c r="N175">
        <v>0</v>
      </c>
      <c r="O175" t="s">
        <v>31</v>
      </c>
      <c r="P175" t="s">
        <v>449</v>
      </c>
      <c r="Q175" t="s">
        <v>47</v>
      </c>
      <c r="R175" t="s">
        <v>61</v>
      </c>
      <c r="S175" t="s">
        <v>61</v>
      </c>
      <c r="T175">
        <v>8</v>
      </c>
      <c r="U175">
        <v>20</v>
      </c>
      <c r="V175" t="s">
        <v>31</v>
      </c>
      <c r="W175" t="s">
        <v>37</v>
      </c>
      <c r="X175" t="s">
        <v>39</v>
      </c>
      <c r="Y175">
        <v>0</v>
      </c>
      <c r="Z175" t="s">
        <v>40</v>
      </c>
      <c r="AA175">
        <v>0</v>
      </c>
    </row>
    <row r="176" spans="1:27" x14ac:dyDescent="0.25">
      <c r="A176">
        <v>176</v>
      </c>
      <c r="B176" t="s">
        <v>27</v>
      </c>
      <c r="C176">
        <v>443</v>
      </c>
      <c r="D176" t="s">
        <v>53</v>
      </c>
      <c r="E176">
        <v>5118230000002000</v>
      </c>
      <c r="F176">
        <v>5118230000002000</v>
      </c>
      <c r="G176" t="s">
        <v>450</v>
      </c>
      <c r="H176">
        <v>2</v>
      </c>
      <c r="I176">
        <v>6253000002</v>
      </c>
      <c r="J176" t="s">
        <v>30</v>
      </c>
      <c r="K176" t="s">
        <v>451</v>
      </c>
      <c r="L176" t="s">
        <v>31</v>
      </c>
      <c r="M176" t="s">
        <v>31</v>
      </c>
      <c r="N176">
        <v>0</v>
      </c>
      <c r="O176" t="s">
        <v>59</v>
      </c>
      <c r="P176" t="s">
        <v>452</v>
      </c>
      <c r="Q176" t="s">
        <v>47</v>
      </c>
      <c r="R176" t="s">
        <v>61</v>
      </c>
      <c r="S176" t="s">
        <v>61</v>
      </c>
      <c r="T176">
        <v>49</v>
      </c>
      <c r="U176">
        <v>80</v>
      </c>
      <c r="V176" t="s">
        <v>31</v>
      </c>
      <c r="W176" t="s">
        <v>52</v>
      </c>
      <c r="X176" t="s">
        <v>85</v>
      </c>
      <c r="Y176">
        <v>0</v>
      </c>
      <c r="Z176" t="s">
        <v>40</v>
      </c>
      <c r="AA176">
        <v>0</v>
      </c>
    </row>
    <row r="177" spans="1:27" x14ac:dyDescent="0.25">
      <c r="A177">
        <v>177</v>
      </c>
      <c r="B177" t="s">
        <v>27</v>
      </c>
      <c r="C177">
        <v>493</v>
      </c>
      <c r="D177" t="s">
        <v>53</v>
      </c>
      <c r="E177">
        <v>5118230000052000</v>
      </c>
      <c r="F177">
        <v>5118230000052000</v>
      </c>
      <c r="G177" t="s">
        <v>453</v>
      </c>
      <c r="H177">
        <v>52</v>
      </c>
      <c r="I177">
        <v>6253010053</v>
      </c>
      <c r="J177" t="s">
        <v>30</v>
      </c>
      <c r="K177" t="s">
        <v>454</v>
      </c>
      <c r="L177" t="s">
        <v>31</v>
      </c>
      <c r="M177" t="s">
        <v>31</v>
      </c>
      <c r="N177">
        <v>0</v>
      </c>
      <c r="O177" t="s">
        <v>59</v>
      </c>
      <c r="P177" t="s">
        <v>455</v>
      </c>
      <c r="Q177" t="s">
        <v>35</v>
      </c>
      <c r="R177" t="s">
        <v>61</v>
      </c>
      <c r="S177" t="s">
        <v>61</v>
      </c>
      <c r="T177">
        <v>40</v>
      </c>
      <c r="U177">
        <v>50</v>
      </c>
      <c r="V177" t="s">
        <v>31</v>
      </c>
      <c r="W177" t="s">
        <v>52</v>
      </c>
      <c r="X177" t="s">
        <v>48</v>
      </c>
      <c r="Y177">
        <v>0</v>
      </c>
      <c r="Z177" t="s">
        <v>40</v>
      </c>
      <c r="AA177">
        <v>0</v>
      </c>
    </row>
    <row r="178" spans="1:27" x14ac:dyDescent="0.25">
      <c r="A178">
        <v>178</v>
      </c>
      <c r="B178" t="s">
        <v>27</v>
      </c>
      <c r="C178">
        <v>766</v>
      </c>
      <c r="D178" t="s">
        <v>53</v>
      </c>
      <c r="E178">
        <v>5118230120010100</v>
      </c>
      <c r="F178">
        <v>5118230120010100</v>
      </c>
      <c r="G178" t="s">
        <v>456</v>
      </c>
      <c r="H178" t="s">
        <v>457</v>
      </c>
      <c r="I178" t="s">
        <v>31</v>
      </c>
      <c r="J178" t="s">
        <v>30</v>
      </c>
      <c r="K178" t="s">
        <v>458</v>
      </c>
      <c r="L178" t="s">
        <v>31</v>
      </c>
      <c r="M178" t="s">
        <v>31</v>
      </c>
      <c r="N178" t="s">
        <v>31</v>
      </c>
      <c r="O178" t="s">
        <v>31</v>
      </c>
      <c r="P178" t="s">
        <v>31</v>
      </c>
      <c r="Q178" t="s">
        <v>31</v>
      </c>
      <c r="R178" t="s">
        <v>31</v>
      </c>
      <c r="S178" t="s">
        <v>31</v>
      </c>
      <c r="T178">
        <v>83</v>
      </c>
      <c r="U178">
        <v>608</v>
      </c>
      <c r="V178" t="s">
        <v>31</v>
      </c>
      <c r="W178" t="s">
        <v>31</v>
      </c>
      <c r="X178" t="s">
        <v>31</v>
      </c>
      <c r="Y178" t="s">
        <v>31</v>
      </c>
      <c r="Z178" t="s">
        <v>31</v>
      </c>
      <c r="AA178">
        <v>0</v>
      </c>
    </row>
    <row r="179" spans="1:27" x14ac:dyDescent="0.25">
      <c r="A179">
        <v>179</v>
      </c>
      <c r="B179" t="s">
        <v>27</v>
      </c>
      <c r="C179">
        <v>504</v>
      </c>
      <c r="D179" t="s">
        <v>41</v>
      </c>
      <c r="E179">
        <v>5118230000063000</v>
      </c>
      <c r="F179">
        <v>5118230000063000</v>
      </c>
      <c r="G179" t="s">
        <v>459</v>
      </c>
      <c r="H179">
        <v>63</v>
      </c>
      <c r="I179">
        <v>6253060063</v>
      </c>
      <c r="J179" t="s">
        <v>30</v>
      </c>
      <c r="K179" t="s">
        <v>460</v>
      </c>
      <c r="L179" t="s">
        <v>31</v>
      </c>
      <c r="M179" t="s">
        <v>31</v>
      </c>
      <c r="N179">
        <v>0</v>
      </c>
      <c r="O179" t="s">
        <v>31</v>
      </c>
      <c r="P179" t="s">
        <v>31</v>
      </c>
      <c r="Q179" t="s">
        <v>47</v>
      </c>
      <c r="R179" t="s">
        <v>31</v>
      </c>
      <c r="S179" t="s">
        <v>31</v>
      </c>
      <c r="T179">
        <v>2</v>
      </c>
      <c r="U179">
        <v>20</v>
      </c>
      <c r="V179" t="s">
        <v>31</v>
      </c>
      <c r="W179" t="s">
        <v>37</v>
      </c>
      <c r="X179" t="s">
        <v>85</v>
      </c>
      <c r="Y179">
        <v>0</v>
      </c>
      <c r="Z179" t="s">
        <v>49</v>
      </c>
      <c r="AA179">
        <v>0</v>
      </c>
    </row>
    <row r="180" spans="1:27" x14ac:dyDescent="0.25">
      <c r="A180">
        <v>180</v>
      </c>
      <c r="B180" t="s">
        <v>27</v>
      </c>
      <c r="C180">
        <v>769</v>
      </c>
      <c r="D180" t="s">
        <v>53</v>
      </c>
      <c r="E180">
        <v>5118230120040100</v>
      </c>
      <c r="F180">
        <v>5118230120040100</v>
      </c>
      <c r="G180" t="s">
        <v>461</v>
      </c>
      <c r="H180" t="s">
        <v>462</v>
      </c>
      <c r="I180" t="s">
        <v>31</v>
      </c>
      <c r="J180" t="s">
        <v>30</v>
      </c>
      <c r="K180" t="s">
        <v>409</v>
      </c>
      <c r="L180" t="s">
        <v>31</v>
      </c>
      <c r="M180" t="s">
        <v>31</v>
      </c>
      <c r="N180" t="s">
        <v>31</v>
      </c>
      <c r="O180" t="s">
        <v>31</v>
      </c>
      <c r="P180" t="s">
        <v>31</v>
      </c>
      <c r="Q180" t="s">
        <v>31</v>
      </c>
      <c r="R180" t="s">
        <v>31</v>
      </c>
      <c r="S180" t="s">
        <v>31</v>
      </c>
      <c r="T180">
        <v>80</v>
      </c>
      <c r="U180">
        <v>125</v>
      </c>
      <c r="V180" t="s">
        <v>31</v>
      </c>
      <c r="W180" t="s">
        <v>31</v>
      </c>
      <c r="X180" t="s">
        <v>31</v>
      </c>
      <c r="Y180" t="s">
        <v>31</v>
      </c>
      <c r="Z180" t="s">
        <v>31</v>
      </c>
      <c r="AA180">
        <v>0</v>
      </c>
    </row>
    <row r="181" spans="1:27" x14ac:dyDescent="0.25">
      <c r="A181">
        <v>181</v>
      </c>
      <c r="B181" t="s">
        <v>27</v>
      </c>
      <c r="C181">
        <v>468</v>
      </c>
      <c r="D181" t="s">
        <v>53</v>
      </c>
      <c r="E181">
        <v>5118230000027000</v>
      </c>
      <c r="F181">
        <v>5118230000027000</v>
      </c>
      <c r="G181" t="s">
        <v>463</v>
      </c>
      <c r="H181">
        <v>27</v>
      </c>
      <c r="I181">
        <v>6253040027</v>
      </c>
      <c r="J181" t="s">
        <v>30</v>
      </c>
      <c r="K181" t="s">
        <v>464</v>
      </c>
      <c r="L181" t="s">
        <v>31</v>
      </c>
      <c r="M181" t="s">
        <v>31</v>
      </c>
      <c r="N181">
        <v>0</v>
      </c>
      <c r="O181" t="s">
        <v>59</v>
      </c>
      <c r="P181" t="s">
        <v>84</v>
      </c>
      <c r="Q181" t="s">
        <v>47</v>
      </c>
      <c r="R181" t="s">
        <v>61</v>
      </c>
      <c r="S181" t="s">
        <v>61</v>
      </c>
      <c r="T181">
        <v>21</v>
      </c>
      <c r="U181">
        <v>70</v>
      </c>
      <c r="V181" t="s">
        <v>37</v>
      </c>
      <c r="W181" t="s">
        <v>52</v>
      </c>
      <c r="X181" t="s">
        <v>85</v>
      </c>
      <c r="Y181">
        <v>0</v>
      </c>
      <c r="Z181" t="s">
        <v>40</v>
      </c>
      <c r="AA181">
        <v>0</v>
      </c>
    </row>
    <row r="182" spans="1:27" x14ac:dyDescent="0.25">
      <c r="A182">
        <v>182</v>
      </c>
      <c r="B182" t="s">
        <v>27</v>
      </c>
      <c r="C182">
        <v>696</v>
      </c>
      <c r="D182" t="s">
        <v>53</v>
      </c>
      <c r="E182">
        <v>5118230010000100</v>
      </c>
      <c r="F182">
        <v>5118230010000100</v>
      </c>
      <c r="G182" t="s">
        <v>465</v>
      </c>
      <c r="H182" t="s">
        <v>466</v>
      </c>
      <c r="I182" t="s">
        <v>31</v>
      </c>
      <c r="J182" t="s">
        <v>30</v>
      </c>
      <c r="K182" t="s">
        <v>467</v>
      </c>
      <c r="L182" t="s">
        <v>31</v>
      </c>
      <c r="M182" t="s">
        <v>31</v>
      </c>
      <c r="N182" t="s">
        <v>31</v>
      </c>
      <c r="O182" t="s">
        <v>31</v>
      </c>
      <c r="P182" t="s">
        <v>31</v>
      </c>
      <c r="Q182" t="s">
        <v>31</v>
      </c>
      <c r="R182" t="s">
        <v>31</v>
      </c>
      <c r="S182" t="s">
        <v>31</v>
      </c>
      <c r="T182">
        <v>18</v>
      </c>
      <c r="U182">
        <v>27</v>
      </c>
      <c r="V182" t="s">
        <v>31</v>
      </c>
      <c r="W182" t="s">
        <v>31</v>
      </c>
      <c r="X182" t="s">
        <v>31</v>
      </c>
      <c r="Y182" t="s">
        <v>31</v>
      </c>
      <c r="Z182" t="s">
        <v>31</v>
      </c>
      <c r="AA182">
        <v>0</v>
      </c>
    </row>
    <row r="183" spans="1:27" x14ac:dyDescent="0.25">
      <c r="A183">
        <v>183</v>
      </c>
      <c r="B183" t="s">
        <v>27</v>
      </c>
      <c r="C183">
        <v>736</v>
      </c>
      <c r="D183" t="s">
        <v>53</v>
      </c>
      <c r="E183">
        <v>5118230080080100</v>
      </c>
      <c r="F183">
        <v>5118230080080100</v>
      </c>
      <c r="G183" t="s">
        <v>468</v>
      </c>
      <c r="H183" t="s">
        <v>469</v>
      </c>
      <c r="I183" t="s">
        <v>31</v>
      </c>
      <c r="J183" t="s">
        <v>30</v>
      </c>
      <c r="K183" t="s">
        <v>470</v>
      </c>
      <c r="L183" t="s">
        <v>31</v>
      </c>
      <c r="M183" t="s">
        <v>31</v>
      </c>
      <c r="N183" t="s">
        <v>31</v>
      </c>
      <c r="O183" t="s">
        <v>31</v>
      </c>
      <c r="P183" t="s">
        <v>31</v>
      </c>
      <c r="Q183" t="s">
        <v>31</v>
      </c>
      <c r="R183" t="s">
        <v>31</v>
      </c>
      <c r="S183" t="s">
        <v>31</v>
      </c>
      <c r="T183">
        <v>32</v>
      </c>
      <c r="U183">
        <v>41</v>
      </c>
      <c r="V183" t="s">
        <v>31</v>
      </c>
      <c r="W183" t="s">
        <v>31</v>
      </c>
      <c r="X183" t="s">
        <v>31</v>
      </c>
      <c r="Y183" t="s">
        <v>31</v>
      </c>
      <c r="Z183" t="s">
        <v>31</v>
      </c>
      <c r="AA183">
        <v>0</v>
      </c>
    </row>
    <row r="184" spans="1:27" x14ac:dyDescent="0.25">
      <c r="A184">
        <v>184</v>
      </c>
      <c r="B184" t="s">
        <v>27</v>
      </c>
      <c r="C184">
        <v>492</v>
      </c>
      <c r="D184" t="s">
        <v>53</v>
      </c>
      <c r="E184">
        <v>5118230000051000</v>
      </c>
      <c r="F184">
        <v>5118230000051000</v>
      </c>
      <c r="G184" t="s">
        <v>471</v>
      </c>
      <c r="H184">
        <v>51</v>
      </c>
      <c r="I184">
        <v>6253010051</v>
      </c>
      <c r="J184" t="s">
        <v>30</v>
      </c>
      <c r="K184" t="s">
        <v>472</v>
      </c>
      <c r="L184" t="s">
        <v>31</v>
      </c>
      <c r="M184" t="s">
        <v>31</v>
      </c>
      <c r="N184">
        <v>0</v>
      </c>
      <c r="O184" t="s">
        <v>59</v>
      </c>
      <c r="P184" t="s">
        <v>473</v>
      </c>
      <c r="Q184" t="s">
        <v>47</v>
      </c>
      <c r="R184" t="s">
        <v>61</v>
      </c>
      <c r="S184" t="s">
        <v>61</v>
      </c>
      <c r="T184">
        <v>40</v>
      </c>
      <c r="U184">
        <v>35</v>
      </c>
      <c r="V184" t="s">
        <v>31</v>
      </c>
      <c r="W184" t="s">
        <v>52</v>
      </c>
      <c r="X184" t="s">
        <v>39</v>
      </c>
      <c r="Y184">
        <v>0</v>
      </c>
      <c r="Z184" t="s">
        <v>40</v>
      </c>
      <c r="AA184">
        <v>0</v>
      </c>
    </row>
    <row r="185" spans="1:27" x14ac:dyDescent="0.25">
      <c r="A185">
        <v>185</v>
      </c>
      <c r="B185" t="s">
        <v>27</v>
      </c>
      <c r="C185">
        <v>494</v>
      </c>
      <c r="D185" t="s">
        <v>53</v>
      </c>
      <c r="E185">
        <v>5118230000053000</v>
      </c>
      <c r="F185">
        <v>5118230000053000</v>
      </c>
      <c r="G185" t="s">
        <v>474</v>
      </c>
      <c r="H185">
        <v>53</v>
      </c>
      <c r="I185">
        <v>6253010052</v>
      </c>
      <c r="J185" t="s">
        <v>30</v>
      </c>
      <c r="K185" t="s">
        <v>454</v>
      </c>
      <c r="L185" t="s">
        <v>31</v>
      </c>
      <c r="M185" t="s">
        <v>31</v>
      </c>
      <c r="N185">
        <v>0</v>
      </c>
      <c r="O185" t="s">
        <v>33</v>
      </c>
      <c r="P185" t="s">
        <v>475</v>
      </c>
      <c r="Q185" t="s">
        <v>98</v>
      </c>
      <c r="R185" t="s">
        <v>31</v>
      </c>
      <c r="S185" t="s">
        <v>31</v>
      </c>
      <c r="T185">
        <v>1</v>
      </c>
      <c r="U185">
        <v>1</v>
      </c>
      <c r="V185" t="s">
        <v>52</v>
      </c>
      <c r="W185" t="s">
        <v>37</v>
      </c>
      <c r="X185" t="s">
        <v>39</v>
      </c>
      <c r="Y185">
        <v>0</v>
      </c>
      <c r="Z185" t="s">
        <v>40</v>
      </c>
      <c r="AA185">
        <v>0</v>
      </c>
    </row>
    <row r="186" spans="1:27" x14ac:dyDescent="0.25">
      <c r="A186">
        <v>186</v>
      </c>
      <c r="B186" t="s">
        <v>27</v>
      </c>
      <c r="C186">
        <v>738</v>
      </c>
      <c r="D186" t="s">
        <v>53</v>
      </c>
      <c r="E186">
        <v>5118230080100100</v>
      </c>
      <c r="F186">
        <v>5118230080100100</v>
      </c>
      <c r="G186" t="s">
        <v>474</v>
      </c>
      <c r="H186" t="s">
        <v>476</v>
      </c>
      <c r="I186" t="s">
        <v>31</v>
      </c>
      <c r="J186" t="s">
        <v>30</v>
      </c>
      <c r="K186" t="s">
        <v>470</v>
      </c>
      <c r="L186" t="s">
        <v>31</v>
      </c>
      <c r="M186" t="s">
        <v>31</v>
      </c>
      <c r="N186" t="s">
        <v>31</v>
      </c>
      <c r="O186" t="s">
        <v>31</v>
      </c>
      <c r="P186" t="s">
        <v>31</v>
      </c>
      <c r="Q186" t="s">
        <v>31</v>
      </c>
      <c r="R186" t="s">
        <v>31</v>
      </c>
      <c r="S186" t="s">
        <v>31</v>
      </c>
      <c r="T186">
        <v>0</v>
      </c>
      <c r="U186">
        <v>0</v>
      </c>
      <c r="V186" t="s">
        <v>31</v>
      </c>
      <c r="W186" t="s">
        <v>31</v>
      </c>
      <c r="X186" t="s">
        <v>31</v>
      </c>
      <c r="Y186" t="s">
        <v>31</v>
      </c>
      <c r="Z186" t="s">
        <v>31</v>
      </c>
      <c r="AA186">
        <v>0</v>
      </c>
    </row>
    <row r="187" spans="1:27" x14ac:dyDescent="0.25">
      <c r="A187">
        <v>187</v>
      </c>
      <c r="B187" t="s">
        <v>27</v>
      </c>
      <c r="C187">
        <v>938</v>
      </c>
      <c r="D187" t="s">
        <v>53</v>
      </c>
      <c r="E187">
        <v>5118232150100100</v>
      </c>
      <c r="F187">
        <v>5118232150100100</v>
      </c>
      <c r="G187" t="s">
        <v>474</v>
      </c>
      <c r="H187" t="s">
        <v>476</v>
      </c>
      <c r="I187" t="s">
        <v>31</v>
      </c>
      <c r="J187" t="s">
        <v>30</v>
      </c>
      <c r="K187" t="s">
        <v>470</v>
      </c>
      <c r="L187" t="s">
        <v>31</v>
      </c>
      <c r="M187" t="s">
        <v>31</v>
      </c>
      <c r="N187" t="s">
        <v>31</v>
      </c>
      <c r="O187" t="s">
        <v>31</v>
      </c>
      <c r="P187" t="s">
        <v>31</v>
      </c>
      <c r="Q187" t="s">
        <v>31</v>
      </c>
      <c r="R187" t="s">
        <v>31</v>
      </c>
      <c r="S187" t="s">
        <v>31</v>
      </c>
      <c r="T187">
        <v>108</v>
      </c>
      <c r="U187">
        <v>156</v>
      </c>
      <c r="V187" t="s">
        <v>31</v>
      </c>
      <c r="W187" t="s">
        <v>31</v>
      </c>
      <c r="X187" t="s">
        <v>31</v>
      </c>
      <c r="Y187" t="s">
        <v>31</v>
      </c>
      <c r="Z187" t="s">
        <v>31</v>
      </c>
      <c r="AA187">
        <v>0</v>
      </c>
    </row>
    <row r="188" spans="1:27" x14ac:dyDescent="0.25">
      <c r="A188">
        <v>188</v>
      </c>
      <c r="B188" t="s">
        <v>27</v>
      </c>
      <c r="C188">
        <v>453</v>
      </c>
      <c r="D188" t="s">
        <v>53</v>
      </c>
      <c r="E188">
        <v>5118230000012000</v>
      </c>
      <c r="F188">
        <v>5118230000012000</v>
      </c>
      <c r="G188" t="s">
        <v>477</v>
      </c>
      <c r="H188">
        <v>12</v>
      </c>
      <c r="I188">
        <v>6253070012</v>
      </c>
      <c r="J188" t="s">
        <v>30</v>
      </c>
      <c r="K188" t="s">
        <v>478</v>
      </c>
      <c r="L188" t="s">
        <v>31</v>
      </c>
      <c r="M188" t="s">
        <v>31</v>
      </c>
      <c r="N188">
        <v>0</v>
      </c>
      <c r="O188" t="s">
        <v>59</v>
      </c>
      <c r="P188" t="s">
        <v>118</v>
      </c>
      <c r="Q188" t="s">
        <v>98</v>
      </c>
      <c r="R188" t="s">
        <v>61</v>
      </c>
      <c r="S188" t="s">
        <v>61</v>
      </c>
      <c r="T188">
        <v>6</v>
      </c>
      <c r="U188">
        <v>30</v>
      </c>
      <c r="V188" t="s">
        <v>31</v>
      </c>
      <c r="W188" t="s">
        <v>37</v>
      </c>
      <c r="X188" t="s">
        <v>39</v>
      </c>
      <c r="Y188">
        <v>0</v>
      </c>
      <c r="Z188" t="s">
        <v>40</v>
      </c>
      <c r="AA188">
        <v>9</v>
      </c>
    </row>
    <row r="189" spans="1:27" x14ac:dyDescent="0.25">
      <c r="A189">
        <v>189</v>
      </c>
      <c r="B189" t="s">
        <v>27</v>
      </c>
      <c r="C189">
        <v>491</v>
      </c>
      <c r="D189" t="s">
        <v>53</v>
      </c>
      <c r="E189">
        <v>5118230000050000</v>
      </c>
      <c r="F189">
        <v>5118230000050000</v>
      </c>
      <c r="G189" t="s">
        <v>479</v>
      </c>
      <c r="H189">
        <v>50</v>
      </c>
      <c r="I189">
        <v>6253010050</v>
      </c>
      <c r="J189" t="s">
        <v>30</v>
      </c>
      <c r="K189" t="s">
        <v>480</v>
      </c>
      <c r="L189" t="s">
        <v>31</v>
      </c>
      <c r="M189" t="s">
        <v>31</v>
      </c>
      <c r="N189">
        <v>0</v>
      </c>
      <c r="O189" t="s">
        <v>59</v>
      </c>
      <c r="P189" t="s">
        <v>60</v>
      </c>
      <c r="Q189" t="s">
        <v>47</v>
      </c>
      <c r="R189" t="s">
        <v>61</v>
      </c>
      <c r="S189" t="s">
        <v>31</v>
      </c>
      <c r="T189">
        <v>40</v>
      </c>
      <c r="U189">
        <v>40</v>
      </c>
      <c r="V189" t="s">
        <v>31</v>
      </c>
      <c r="W189" t="s">
        <v>52</v>
      </c>
      <c r="X189" t="s">
        <v>39</v>
      </c>
      <c r="Y189">
        <v>0</v>
      </c>
      <c r="Z189" t="s">
        <v>40</v>
      </c>
      <c r="AA189">
        <v>0</v>
      </c>
    </row>
    <row r="190" spans="1:27" x14ac:dyDescent="0.25">
      <c r="A190">
        <v>190</v>
      </c>
      <c r="B190" t="s">
        <v>27</v>
      </c>
      <c r="C190">
        <v>737</v>
      </c>
      <c r="D190" t="s">
        <v>53</v>
      </c>
      <c r="E190">
        <v>5118230080090100</v>
      </c>
      <c r="F190">
        <v>5118230080090100</v>
      </c>
      <c r="G190" t="s">
        <v>453</v>
      </c>
      <c r="H190" t="s">
        <v>481</v>
      </c>
      <c r="I190" t="s">
        <v>31</v>
      </c>
      <c r="J190" t="s">
        <v>30</v>
      </c>
      <c r="K190" t="s">
        <v>470</v>
      </c>
      <c r="L190" t="s">
        <v>31</v>
      </c>
      <c r="M190" t="s">
        <v>31</v>
      </c>
      <c r="N190" t="s">
        <v>31</v>
      </c>
      <c r="O190" t="s">
        <v>31</v>
      </c>
      <c r="P190" t="s">
        <v>31</v>
      </c>
      <c r="Q190" t="s">
        <v>31</v>
      </c>
      <c r="R190" t="s">
        <v>31</v>
      </c>
      <c r="S190" t="s">
        <v>31</v>
      </c>
      <c r="T190">
        <v>26</v>
      </c>
      <c r="U190">
        <v>36</v>
      </c>
      <c r="V190" t="s">
        <v>31</v>
      </c>
      <c r="W190" t="s">
        <v>31</v>
      </c>
      <c r="X190" t="s">
        <v>31</v>
      </c>
      <c r="Y190" t="s">
        <v>31</v>
      </c>
      <c r="Z190" t="s">
        <v>31</v>
      </c>
      <c r="AA190">
        <v>0</v>
      </c>
    </row>
    <row r="191" spans="1:27" x14ac:dyDescent="0.25">
      <c r="A191">
        <v>191</v>
      </c>
      <c r="B191" t="s">
        <v>27</v>
      </c>
      <c r="C191">
        <v>705</v>
      </c>
      <c r="D191" t="s">
        <v>53</v>
      </c>
      <c r="E191">
        <v>5118230020020100</v>
      </c>
      <c r="F191">
        <v>5118230020020100</v>
      </c>
      <c r="G191" t="s">
        <v>482</v>
      </c>
      <c r="H191" t="s">
        <v>483</v>
      </c>
      <c r="I191" t="s">
        <v>31</v>
      </c>
      <c r="J191" t="s">
        <v>30</v>
      </c>
      <c r="K191" t="s">
        <v>484</v>
      </c>
      <c r="L191" t="s">
        <v>31</v>
      </c>
      <c r="M191" t="s">
        <v>31</v>
      </c>
      <c r="N191" t="s">
        <v>31</v>
      </c>
      <c r="O191" t="s">
        <v>31</v>
      </c>
      <c r="P191" t="s">
        <v>31</v>
      </c>
      <c r="Q191" t="s">
        <v>31</v>
      </c>
      <c r="R191" t="s">
        <v>31</v>
      </c>
      <c r="S191" t="s">
        <v>31</v>
      </c>
      <c r="T191">
        <v>9</v>
      </c>
      <c r="U191">
        <v>13</v>
      </c>
      <c r="V191" t="s">
        <v>31</v>
      </c>
      <c r="W191" t="s">
        <v>31</v>
      </c>
      <c r="X191" t="s">
        <v>31</v>
      </c>
      <c r="Y191" t="s">
        <v>31</v>
      </c>
      <c r="Z191" t="s">
        <v>31</v>
      </c>
      <c r="AA191">
        <v>0</v>
      </c>
    </row>
    <row r="192" spans="1:27" x14ac:dyDescent="0.25">
      <c r="A192">
        <v>192</v>
      </c>
      <c r="B192" t="s">
        <v>27</v>
      </c>
      <c r="C192">
        <v>577</v>
      </c>
      <c r="D192" t="s">
        <v>41</v>
      </c>
      <c r="E192">
        <v>5118230000137000</v>
      </c>
      <c r="F192">
        <v>5118230000137000</v>
      </c>
      <c r="G192" t="s">
        <v>485</v>
      </c>
      <c r="H192">
        <v>137</v>
      </c>
      <c r="I192">
        <v>6253360137</v>
      </c>
      <c r="J192" t="s">
        <v>30</v>
      </c>
      <c r="K192" t="s">
        <v>486</v>
      </c>
      <c r="L192" t="s">
        <v>31</v>
      </c>
      <c r="M192" t="s">
        <v>31</v>
      </c>
      <c r="N192">
        <v>0</v>
      </c>
      <c r="O192" t="s">
        <v>31</v>
      </c>
      <c r="P192" t="s">
        <v>31</v>
      </c>
      <c r="Q192" t="s">
        <v>31</v>
      </c>
      <c r="R192" t="s">
        <v>31</v>
      </c>
      <c r="S192" t="s">
        <v>31</v>
      </c>
      <c r="T192">
        <v>98</v>
      </c>
      <c r="U192">
        <v>240</v>
      </c>
      <c r="V192" t="s">
        <v>31</v>
      </c>
      <c r="W192" t="s">
        <v>52</v>
      </c>
      <c r="X192" t="s">
        <v>39</v>
      </c>
      <c r="Y192">
        <v>0</v>
      </c>
      <c r="Z192" t="s">
        <v>49</v>
      </c>
      <c r="AA192">
        <v>0</v>
      </c>
    </row>
    <row r="193" spans="1:27" x14ac:dyDescent="0.25">
      <c r="A193">
        <v>193</v>
      </c>
      <c r="B193" t="s">
        <v>27</v>
      </c>
      <c r="C193">
        <v>764</v>
      </c>
      <c r="D193" t="s">
        <v>53</v>
      </c>
      <c r="E193">
        <v>5118230120000100</v>
      </c>
      <c r="F193">
        <v>5118230120000100</v>
      </c>
      <c r="G193" t="s">
        <v>487</v>
      </c>
      <c r="H193" t="s">
        <v>488</v>
      </c>
      <c r="I193" t="s">
        <v>31</v>
      </c>
      <c r="J193" t="s">
        <v>30</v>
      </c>
      <c r="K193" t="s">
        <v>458</v>
      </c>
      <c r="L193" t="s">
        <v>31</v>
      </c>
      <c r="M193" t="s">
        <v>31</v>
      </c>
      <c r="N193" t="s">
        <v>31</v>
      </c>
      <c r="O193" t="s">
        <v>31</v>
      </c>
      <c r="P193" t="s">
        <v>31</v>
      </c>
      <c r="Q193" t="s">
        <v>31</v>
      </c>
      <c r="R193" t="s">
        <v>31</v>
      </c>
      <c r="S193" t="s">
        <v>31</v>
      </c>
      <c r="T193">
        <v>204</v>
      </c>
      <c r="U193">
        <v>265</v>
      </c>
      <c r="V193" t="s">
        <v>31</v>
      </c>
      <c r="W193" t="s">
        <v>31</v>
      </c>
      <c r="X193" t="s">
        <v>31</v>
      </c>
      <c r="Y193" t="s">
        <v>31</v>
      </c>
      <c r="Z193" t="s">
        <v>31</v>
      </c>
      <c r="AA193">
        <v>0</v>
      </c>
    </row>
    <row r="194" spans="1:27" x14ac:dyDescent="0.25">
      <c r="A194">
        <v>194</v>
      </c>
      <c r="B194" t="s">
        <v>27</v>
      </c>
      <c r="C194">
        <v>722</v>
      </c>
      <c r="D194" t="s">
        <v>41</v>
      </c>
      <c r="E194">
        <v>5118230060000100</v>
      </c>
      <c r="F194">
        <v>5118230060000100</v>
      </c>
      <c r="G194" t="s">
        <v>459</v>
      </c>
      <c r="H194" t="s">
        <v>489</v>
      </c>
      <c r="I194" t="s">
        <v>31</v>
      </c>
      <c r="J194" t="s">
        <v>30</v>
      </c>
      <c r="K194" t="s">
        <v>490</v>
      </c>
      <c r="L194" t="s">
        <v>31</v>
      </c>
      <c r="M194" t="s">
        <v>31</v>
      </c>
      <c r="N194" t="s">
        <v>31</v>
      </c>
      <c r="O194" t="s">
        <v>31</v>
      </c>
      <c r="P194" t="s">
        <v>31</v>
      </c>
      <c r="Q194" t="s">
        <v>31</v>
      </c>
      <c r="R194" t="s">
        <v>31</v>
      </c>
      <c r="S194" t="s">
        <v>31</v>
      </c>
      <c r="T194">
        <v>9</v>
      </c>
      <c r="U194">
        <v>15</v>
      </c>
      <c r="V194" t="s">
        <v>31</v>
      </c>
      <c r="W194" t="s">
        <v>31</v>
      </c>
      <c r="X194" t="s">
        <v>31</v>
      </c>
      <c r="Y194" t="s">
        <v>31</v>
      </c>
      <c r="Z194" t="s">
        <v>31</v>
      </c>
      <c r="AA194">
        <v>0</v>
      </c>
    </row>
    <row r="195" spans="1:27" x14ac:dyDescent="0.25">
      <c r="A195">
        <v>195</v>
      </c>
      <c r="B195" t="s">
        <v>27</v>
      </c>
      <c r="C195">
        <v>715</v>
      </c>
      <c r="D195" t="s">
        <v>53</v>
      </c>
      <c r="E195">
        <v>5118230050010100</v>
      </c>
      <c r="F195">
        <v>5118230050010100</v>
      </c>
      <c r="G195" t="s">
        <v>491</v>
      </c>
      <c r="H195" t="s">
        <v>492</v>
      </c>
      <c r="I195" t="s">
        <v>31</v>
      </c>
      <c r="J195" t="s">
        <v>30</v>
      </c>
      <c r="K195" t="s">
        <v>493</v>
      </c>
      <c r="L195" t="s">
        <v>31</v>
      </c>
      <c r="M195" t="s">
        <v>31</v>
      </c>
      <c r="N195" t="s">
        <v>31</v>
      </c>
      <c r="O195" t="s">
        <v>31</v>
      </c>
      <c r="P195" t="s">
        <v>31</v>
      </c>
      <c r="Q195" t="s">
        <v>31</v>
      </c>
      <c r="R195" t="s">
        <v>31</v>
      </c>
      <c r="S195" t="s">
        <v>31</v>
      </c>
      <c r="T195">
        <v>15</v>
      </c>
      <c r="U195">
        <v>23</v>
      </c>
      <c r="V195" t="s">
        <v>31</v>
      </c>
      <c r="W195" t="s">
        <v>31</v>
      </c>
      <c r="X195" t="s">
        <v>31</v>
      </c>
      <c r="Y195" t="s">
        <v>31</v>
      </c>
      <c r="Z195" t="s">
        <v>31</v>
      </c>
      <c r="AA195">
        <v>0</v>
      </c>
    </row>
    <row r="196" spans="1:27" x14ac:dyDescent="0.25">
      <c r="A196">
        <v>196</v>
      </c>
      <c r="B196" t="s">
        <v>27</v>
      </c>
      <c r="C196">
        <v>466</v>
      </c>
      <c r="D196" t="s">
        <v>53</v>
      </c>
      <c r="E196">
        <v>5118230000025000</v>
      </c>
      <c r="F196">
        <v>5118230000025000</v>
      </c>
      <c r="G196" t="s">
        <v>494</v>
      </c>
      <c r="H196">
        <v>25</v>
      </c>
      <c r="I196">
        <v>6253040025</v>
      </c>
      <c r="J196" t="s">
        <v>30</v>
      </c>
      <c r="K196" t="s">
        <v>495</v>
      </c>
      <c r="L196" t="s">
        <v>31</v>
      </c>
      <c r="M196" t="s">
        <v>31</v>
      </c>
      <c r="N196">
        <v>0</v>
      </c>
      <c r="O196" t="s">
        <v>59</v>
      </c>
      <c r="P196" t="s">
        <v>118</v>
      </c>
      <c r="Q196" t="s">
        <v>47</v>
      </c>
      <c r="R196" t="s">
        <v>31</v>
      </c>
      <c r="S196" t="s">
        <v>31</v>
      </c>
      <c r="T196">
        <v>24</v>
      </c>
      <c r="U196">
        <v>80</v>
      </c>
      <c r="V196" t="s">
        <v>31</v>
      </c>
      <c r="W196" t="s">
        <v>52</v>
      </c>
      <c r="X196" t="s">
        <v>39</v>
      </c>
      <c r="Y196">
        <v>0</v>
      </c>
      <c r="Z196" t="s">
        <v>496</v>
      </c>
      <c r="AA196">
        <v>0</v>
      </c>
    </row>
    <row r="197" spans="1:27" x14ac:dyDescent="0.25">
      <c r="A197">
        <v>197</v>
      </c>
      <c r="B197" t="s">
        <v>27</v>
      </c>
      <c r="C197">
        <v>482</v>
      </c>
      <c r="D197" t="s">
        <v>53</v>
      </c>
      <c r="E197">
        <v>5118230000041000</v>
      </c>
      <c r="F197">
        <v>5118230000041000</v>
      </c>
      <c r="G197" t="s">
        <v>491</v>
      </c>
      <c r="H197">
        <v>41</v>
      </c>
      <c r="I197">
        <v>6253020041</v>
      </c>
      <c r="J197" t="s">
        <v>30</v>
      </c>
      <c r="K197" t="s">
        <v>497</v>
      </c>
      <c r="L197" t="s">
        <v>31</v>
      </c>
      <c r="M197" t="s">
        <v>31</v>
      </c>
      <c r="N197">
        <v>0</v>
      </c>
      <c r="O197" t="s">
        <v>59</v>
      </c>
      <c r="P197" t="s">
        <v>498</v>
      </c>
      <c r="Q197" t="s">
        <v>47</v>
      </c>
      <c r="R197" t="s">
        <v>61</v>
      </c>
      <c r="S197" t="s">
        <v>61</v>
      </c>
      <c r="T197">
        <v>18</v>
      </c>
      <c r="U197">
        <v>60</v>
      </c>
      <c r="V197" t="s">
        <v>37</v>
      </c>
      <c r="W197" t="s">
        <v>52</v>
      </c>
      <c r="X197" t="s">
        <v>39</v>
      </c>
      <c r="Y197">
        <v>0</v>
      </c>
      <c r="Z197" t="s">
        <v>40</v>
      </c>
      <c r="AA197">
        <v>0</v>
      </c>
    </row>
    <row r="198" spans="1:27" x14ac:dyDescent="0.25">
      <c r="A198">
        <v>198</v>
      </c>
      <c r="B198" t="s">
        <v>27</v>
      </c>
      <c r="C198">
        <v>488</v>
      </c>
      <c r="D198" t="s">
        <v>499</v>
      </c>
      <c r="E198">
        <v>5118230000047000</v>
      </c>
      <c r="F198">
        <v>5118230000047000</v>
      </c>
      <c r="G198" t="s">
        <v>500</v>
      </c>
      <c r="H198">
        <v>47</v>
      </c>
      <c r="I198">
        <v>6253020047</v>
      </c>
      <c r="J198" t="s">
        <v>30</v>
      </c>
      <c r="K198" t="s">
        <v>501</v>
      </c>
      <c r="L198" t="s">
        <v>31</v>
      </c>
      <c r="M198" t="s">
        <v>31</v>
      </c>
      <c r="N198">
        <v>0</v>
      </c>
      <c r="O198" t="s">
        <v>59</v>
      </c>
      <c r="P198" t="s">
        <v>502</v>
      </c>
      <c r="Q198" t="s">
        <v>47</v>
      </c>
      <c r="R198" t="s">
        <v>31</v>
      </c>
      <c r="S198" t="s">
        <v>61</v>
      </c>
      <c r="T198">
        <v>175</v>
      </c>
      <c r="U198">
        <v>210</v>
      </c>
      <c r="V198" t="s">
        <v>31</v>
      </c>
      <c r="W198" t="s">
        <v>38</v>
      </c>
      <c r="X198" t="s">
        <v>503</v>
      </c>
      <c r="Y198">
        <v>0</v>
      </c>
      <c r="Z198" t="s">
        <v>40</v>
      </c>
      <c r="AA198">
        <v>0</v>
      </c>
    </row>
    <row r="199" spans="1:27" x14ac:dyDescent="0.25">
      <c r="A199">
        <v>199</v>
      </c>
      <c r="B199" t="s">
        <v>27</v>
      </c>
      <c r="C199">
        <v>699</v>
      </c>
      <c r="D199" t="s">
        <v>53</v>
      </c>
      <c r="E199">
        <v>5118230010020100</v>
      </c>
      <c r="F199">
        <v>5118230010020100</v>
      </c>
      <c r="G199" t="s">
        <v>504</v>
      </c>
      <c r="H199" t="s">
        <v>505</v>
      </c>
      <c r="I199" t="s">
        <v>31</v>
      </c>
      <c r="J199" t="s">
        <v>30</v>
      </c>
      <c r="K199" t="s">
        <v>506</v>
      </c>
      <c r="L199" t="s">
        <v>31</v>
      </c>
      <c r="M199" t="s">
        <v>31</v>
      </c>
      <c r="N199" t="s">
        <v>31</v>
      </c>
      <c r="O199" t="s">
        <v>31</v>
      </c>
      <c r="P199" t="s">
        <v>31</v>
      </c>
      <c r="Q199" t="s">
        <v>31</v>
      </c>
      <c r="R199" t="s">
        <v>31</v>
      </c>
      <c r="S199" t="s">
        <v>31</v>
      </c>
      <c r="T199">
        <v>989</v>
      </c>
      <c r="U199">
        <v>1200</v>
      </c>
      <c r="V199" t="s">
        <v>31</v>
      </c>
      <c r="W199" t="s">
        <v>31</v>
      </c>
      <c r="X199" t="s">
        <v>31</v>
      </c>
      <c r="Y199" t="s">
        <v>31</v>
      </c>
      <c r="Z199" t="s">
        <v>31</v>
      </c>
      <c r="AA199">
        <v>0</v>
      </c>
    </row>
    <row r="200" spans="1:27" x14ac:dyDescent="0.25">
      <c r="A200">
        <v>200</v>
      </c>
      <c r="B200" t="s">
        <v>27</v>
      </c>
      <c r="C200">
        <v>481</v>
      </c>
      <c r="D200" t="s">
        <v>53</v>
      </c>
      <c r="E200">
        <v>5118230000040000</v>
      </c>
      <c r="F200">
        <v>5118230000040000</v>
      </c>
      <c r="G200" t="s">
        <v>507</v>
      </c>
      <c r="H200">
        <v>40</v>
      </c>
      <c r="I200">
        <v>6253020040</v>
      </c>
      <c r="J200" t="s">
        <v>30</v>
      </c>
      <c r="K200" t="s">
        <v>508</v>
      </c>
      <c r="L200" t="s">
        <v>31</v>
      </c>
      <c r="M200" t="s">
        <v>31</v>
      </c>
      <c r="N200">
        <v>0</v>
      </c>
      <c r="O200" t="s">
        <v>59</v>
      </c>
      <c r="P200" t="s">
        <v>509</v>
      </c>
      <c r="Q200" t="s">
        <v>47</v>
      </c>
      <c r="R200" t="s">
        <v>61</v>
      </c>
      <c r="S200" t="s">
        <v>61</v>
      </c>
      <c r="T200">
        <v>20</v>
      </c>
      <c r="U200">
        <v>20</v>
      </c>
      <c r="V200" t="s">
        <v>31</v>
      </c>
      <c r="W200" t="s">
        <v>52</v>
      </c>
      <c r="X200" t="s">
        <v>115</v>
      </c>
      <c r="Y200">
        <v>0</v>
      </c>
      <c r="Z200" t="s">
        <v>40</v>
      </c>
      <c r="AA200">
        <v>0</v>
      </c>
    </row>
    <row r="201" spans="1:27" x14ac:dyDescent="0.25">
      <c r="A201">
        <v>201</v>
      </c>
      <c r="B201" t="s">
        <v>27</v>
      </c>
      <c r="C201">
        <v>489</v>
      </c>
      <c r="D201" t="s">
        <v>41</v>
      </c>
      <c r="E201">
        <v>5118230000048000</v>
      </c>
      <c r="F201">
        <v>5118230000048000</v>
      </c>
      <c r="G201" t="s">
        <v>510</v>
      </c>
      <c r="H201">
        <v>48</v>
      </c>
      <c r="I201">
        <v>6253020048</v>
      </c>
      <c r="J201" t="s">
        <v>30</v>
      </c>
      <c r="K201" t="s">
        <v>501</v>
      </c>
      <c r="L201" t="s">
        <v>31</v>
      </c>
      <c r="M201" t="s">
        <v>31</v>
      </c>
      <c r="N201">
        <v>0</v>
      </c>
      <c r="O201" t="s">
        <v>31</v>
      </c>
      <c r="P201" t="s">
        <v>31</v>
      </c>
      <c r="Q201" t="s">
        <v>31</v>
      </c>
      <c r="R201" t="s">
        <v>31</v>
      </c>
      <c r="S201" t="s">
        <v>31</v>
      </c>
      <c r="T201">
        <v>175</v>
      </c>
      <c r="U201">
        <v>210</v>
      </c>
      <c r="V201" t="s">
        <v>31</v>
      </c>
      <c r="W201" t="s">
        <v>38</v>
      </c>
      <c r="X201" t="s">
        <v>115</v>
      </c>
      <c r="Y201">
        <v>0</v>
      </c>
      <c r="Z201" t="s">
        <v>49</v>
      </c>
      <c r="AA201">
        <v>0</v>
      </c>
    </row>
    <row r="202" spans="1:27" x14ac:dyDescent="0.25">
      <c r="A202">
        <v>202</v>
      </c>
      <c r="B202" t="s">
        <v>27</v>
      </c>
      <c r="C202">
        <v>457</v>
      </c>
      <c r="D202" t="s">
        <v>53</v>
      </c>
      <c r="E202">
        <v>5118230000016000</v>
      </c>
      <c r="F202">
        <v>5118230000016000</v>
      </c>
      <c r="G202" t="s">
        <v>511</v>
      </c>
      <c r="H202">
        <v>16</v>
      </c>
      <c r="I202">
        <v>6253070016</v>
      </c>
      <c r="J202" t="s">
        <v>30</v>
      </c>
      <c r="K202" t="s">
        <v>512</v>
      </c>
      <c r="L202" t="s">
        <v>31</v>
      </c>
      <c r="M202" t="s">
        <v>31</v>
      </c>
      <c r="N202">
        <v>0</v>
      </c>
      <c r="O202" t="s">
        <v>59</v>
      </c>
      <c r="P202" t="s">
        <v>328</v>
      </c>
      <c r="Q202" t="s">
        <v>47</v>
      </c>
      <c r="R202" t="s">
        <v>61</v>
      </c>
      <c r="S202" t="s">
        <v>61</v>
      </c>
      <c r="T202">
        <v>18</v>
      </c>
      <c r="U202">
        <v>50</v>
      </c>
      <c r="V202" t="s">
        <v>31</v>
      </c>
      <c r="W202" t="s">
        <v>52</v>
      </c>
      <c r="X202" t="s">
        <v>85</v>
      </c>
      <c r="Y202">
        <v>0</v>
      </c>
      <c r="Z202" t="s">
        <v>40</v>
      </c>
      <c r="AA202">
        <v>1</v>
      </c>
    </row>
    <row r="203" spans="1:27" x14ac:dyDescent="0.25">
      <c r="A203">
        <v>203</v>
      </c>
      <c r="B203" t="s">
        <v>27</v>
      </c>
      <c r="C203">
        <v>735</v>
      </c>
      <c r="D203" t="s">
        <v>53</v>
      </c>
      <c r="E203">
        <v>5118230080070100</v>
      </c>
      <c r="F203">
        <v>5118230080070100</v>
      </c>
      <c r="G203" t="s">
        <v>513</v>
      </c>
      <c r="H203" t="s">
        <v>514</v>
      </c>
      <c r="I203" t="s">
        <v>31</v>
      </c>
      <c r="J203" t="s">
        <v>30</v>
      </c>
      <c r="K203" t="s">
        <v>470</v>
      </c>
      <c r="L203" t="s">
        <v>31</v>
      </c>
      <c r="M203" t="s">
        <v>31</v>
      </c>
      <c r="N203" t="s">
        <v>31</v>
      </c>
      <c r="O203" t="s">
        <v>31</v>
      </c>
      <c r="P203" t="s">
        <v>31</v>
      </c>
      <c r="Q203" t="s">
        <v>31</v>
      </c>
      <c r="R203" t="s">
        <v>31</v>
      </c>
      <c r="S203" t="s">
        <v>31</v>
      </c>
      <c r="T203">
        <v>38</v>
      </c>
      <c r="U203">
        <v>57</v>
      </c>
      <c r="V203" t="s">
        <v>31</v>
      </c>
      <c r="W203" t="s">
        <v>31</v>
      </c>
      <c r="X203" t="s">
        <v>31</v>
      </c>
      <c r="Y203" t="s">
        <v>31</v>
      </c>
      <c r="Z203" t="s">
        <v>31</v>
      </c>
      <c r="AA203">
        <v>0</v>
      </c>
    </row>
    <row r="204" spans="1:27" x14ac:dyDescent="0.25">
      <c r="A204">
        <v>204</v>
      </c>
      <c r="B204" t="s">
        <v>27</v>
      </c>
      <c r="C204">
        <v>739</v>
      </c>
      <c r="D204" t="s">
        <v>53</v>
      </c>
      <c r="E204">
        <v>5118230080110100</v>
      </c>
      <c r="F204">
        <v>5118230080110100</v>
      </c>
      <c r="G204" t="s">
        <v>515</v>
      </c>
      <c r="H204" t="s">
        <v>516</v>
      </c>
      <c r="I204" t="s">
        <v>31</v>
      </c>
      <c r="J204" t="s">
        <v>30</v>
      </c>
      <c r="K204" t="s">
        <v>470</v>
      </c>
      <c r="L204" t="s">
        <v>31</v>
      </c>
      <c r="M204" t="s">
        <v>31</v>
      </c>
      <c r="N204" t="s">
        <v>31</v>
      </c>
      <c r="O204" t="s">
        <v>31</v>
      </c>
      <c r="P204" t="s">
        <v>31</v>
      </c>
      <c r="Q204" t="s">
        <v>31</v>
      </c>
      <c r="R204" t="s">
        <v>31</v>
      </c>
      <c r="S204" t="s">
        <v>31</v>
      </c>
      <c r="T204">
        <v>23</v>
      </c>
      <c r="U204">
        <v>34</v>
      </c>
      <c r="V204" t="s">
        <v>31</v>
      </c>
      <c r="W204" t="s">
        <v>31</v>
      </c>
      <c r="X204" t="s">
        <v>31</v>
      </c>
      <c r="Y204" t="s">
        <v>31</v>
      </c>
      <c r="Z204" t="s">
        <v>31</v>
      </c>
      <c r="AA204">
        <v>0</v>
      </c>
    </row>
    <row r="205" spans="1:27" x14ac:dyDescent="0.25">
      <c r="A205">
        <v>205</v>
      </c>
      <c r="B205" t="s">
        <v>27</v>
      </c>
      <c r="C205">
        <v>939</v>
      </c>
      <c r="D205" t="s">
        <v>53</v>
      </c>
      <c r="E205">
        <v>5118232150110100</v>
      </c>
      <c r="F205">
        <v>5118232150110100</v>
      </c>
      <c r="G205" t="s">
        <v>515</v>
      </c>
      <c r="H205" t="s">
        <v>516</v>
      </c>
      <c r="I205" t="s">
        <v>31</v>
      </c>
      <c r="J205" t="s">
        <v>30</v>
      </c>
      <c r="K205" t="s">
        <v>470</v>
      </c>
      <c r="L205" t="s">
        <v>31</v>
      </c>
      <c r="M205" t="s">
        <v>31</v>
      </c>
      <c r="N205" t="s">
        <v>31</v>
      </c>
      <c r="O205" t="s">
        <v>31</v>
      </c>
      <c r="P205" t="s">
        <v>31</v>
      </c>
      <c r="Q205" t="s">
        <v>31</v>
      </c>
      <c r="R205" t="s">
        <v>31</v>
      </c>
      <c r="S205" t="s">
        <v>31</v>
      </c>
      <c r="T205">
        <v>23</v>
      </c>
      <c r="U205">
        <v>34</v>
      </c>
      <c r="V205" t="s">
        <v>31</v>
      </c>
      <c r="W205" t="s">
        <v>31</v>
      </c>
      <c r="X205" t="s">
        <v>31</v>
      </c>
      <c r="Y205" t="s">
        <v>31</v>
      </c>
      <c r="Z205" t="s">
        <v>31</v>
      </c>
      <c r="AA205">
        <v>0</v>
      </c>
    </row>
    <row r="206" spans="1:27" x14ac:dyDescent="0.25">
      <c r="A206">
        <v>206</v>
      </c>
      <c r="B206" t="s">
        <v>27</v>
      </c>
      <c r="C206">
        <v>495</v>
      </c>
      <c r="D206" t="s">
        <v>53</v>
      </c>
      <c r="E206">
        <v>5118230000054000</v>
      </c>
      <c r="F206">
        <v>5118230000054000</v>
      </c>
      <c r="G206" t="s">
        <v>513</v>
      </c>
      <c r="H206">
        <v>54</v>
      </c>
      <c r="I206">
        <v>6253010054</v>
      </c>
      <c r="J206" t="s">
        <v>30</v>
      </c>
      <c r="K206" t="s">
        <v>517</v>
      </c>
      <c r="L206" t="s">
        <v>31</v>
      </c>
      <c r="M206" t="s">
        <v>31</v>
      </c>
      <c r="N206">
        <v>0</v>
      </c>
      <c r="O206" t="s">
        <v>59</v>
      </c>
      <c r="P206" t="s">
        <v>455</v>
      </c>
      <c r="Q206" t="s">
        <v>35</v>
      </c>
      <c r="R206" t="s">
        <v>61</v>
      </c>
      <c r="S206" t="s">
        <v>31</v>
      </c>
      <c r="T206">
        <v>52</v>
      </c>
      <c r="U206">
        <v>70</v>
      </c>
      <c r="V206" t="s">
        <v>37</v>
      </c>
      <c r="W206" t="s">
        <v>52</v>
      </c>
      <c r="X206" t="s">
        <v>115</v>
      </c>
      <c r="Y206">
        <v>0</v>
      </c>
      <c r="Z206" t="s">
        <v>40</v>
      </c>
      <c r="AA206">
        <v>0</v>
      </c>
    </row>
    <row r="207" spans="1:27" x14ac:dyDescent="0.25">
      <c r="A207">
        <v>207</v>
      </c>
      <c r="B207" t="s">
        <v>27</v>
      </c>
      <c r="C207">
        <v>716</v>
      </c>
      <c r="D207" t="s">
        <v>53</v>
      </c>
      <c r="E207">
        <v>5118230050020100</v>
      </c>
      <c r="F207">
        <v>5118230050020100</v>
      </c>
      <c r="G207" t="s">
        <v>507</v>
      </c>
      <c r="H207" t="s">
        <v>518</v>
      </c>
      <c r="I207" t="s">
        <v>31</v>
      </c>
      <c r="J207" t="s">
        <v>30</v>
      </c>
      <c r="K207" t="s">
        <v>493</v>
      </c>
      <c r="L207" t="s">
        <v>31</v>
      </c>
      <c r="M207" t="s">
        <v>31</v>
      </c>
      <c r="N207" t="s">
        <v>31</v>
      </c>
      <c r="O207" t="s">
        <v>31</v>
      </c>
      <c r="P207" t="s">
        <v>31</v>
      </c>
      <c r="Q207" t="s">
        <v>31</v>
      </c>
      <c r="R207" t="s">
        <v>31</v>
      </c>
      <c r="S207" t="s">
        <v>31</v>
      </c>
      <c r="T207">
        <v>109</v>
      </c>
      <c r="U207">
        <v>142</v>
      </c>
      <c r="V207" t="s">
        <v>31</v>
      </c>
      <c r="W207" t="s">
        <v>31</v>
      </c>
      <c r="X207" t="s">
        <v>31</v>
      </c>
      <c r="Y207" t="s">
        <v>31</v>
      </c>
      <c r="Z207" t="s">
        <v>31</v>
      </c>
      <c r="AA207">
        <v>0</v>
      </c>
    </row>
    <row r="208" spans="1:27" x14ac:dyDescent="0.25">
      <c r="A208">
        <v>208</v>
      </c>
      <c r="B208" t="s">
        <v>27</v>
      </c>
      <c r="C208">
        <v>714</v>
      </c>
      <c r="D208" t="s">
        <v>28</v>
      </c>
      <c r="E208">
        <v>5118230050000100</v>
      </c>
      <c r="F208">
        <v>5118230050000100</v>
      </c>
      <c r="G208" t="s">
        <v>519</v>
      </c>
      <c r="H208" t="s">
        <v>520</v>
      </c>
      <c r="I208" t="s">
        <v>31</v>
      </c>
      <c r="J208" t="s">
        <v>30</v>
      </c>
      <c r="K208" t="s">
        <v>493</v>
      </c>
      <c r="L208" t="s">
        <v>31</v>
      </c>
      <c r="M208" t="s">
        <v>31</v>
      </c>
      <c r="N208" t="s">
        <v>31</v>
      </c>
      <c r="O208" t="s">
        <v>31</v>
      </c>
      <c r="P208" t="s">
        <v>31</v>
      </c>
      <c r="Q208" t="s">
        <v>31</v>
      </c>
      <c r="R208" t="s">
        <v>31</v>
      </c>
      <c r="S208" t="s">
        <v>31</v>
      </c>
      <c r="T208">
        <v>20</v>
      </c>
      <c r="U208">
        <v>25</v>
      </c>
      <c r="V208" t="s">
        <v>31</v>
      </c>
      <c r="W208" t="s">
        <v>31</v>
      </c>
      <c r="X208" t="s">
        <v>31</v>
      </c>
      <c r="Y208" t="s">
        <v>31</v>
      </c>
      <c r="Z208" t="s">
        <v>31</v>
      </c>
      <c r="AA208">
        <v>0</v>
      </c>
    </row>
    <row r="209" spans="1:27" x14ac:dyDescent="0.25">
      <c r="A209">
        <v>209</v>
      </c>
      <c r="B209" t="s">
        <v>27</v>
      </c>
      <c r="C209">
        <v>455</v>
      </c>
      <c r="D209" t="s">
        <v>53</v>
      </c>
      <c r="E209">
        <v>5118230000014000</v>
      </c>
      <c r="F209">
        <v>5118230000014000</v>
      </c>
      <c r="G209" t="s">
        <v>521</v>
      </c>
      <c r="H209">
        <v>14</v>
      </c>
      <c r="I209">
        <v>6253070014</v>
      </c>
      <c r="J209" t="s">
        <v>30</v>
      </c>
      <c r="K209" t="s">
        <v>522</v>
      </c>
      <c r="L209" t="s">
        <v>31</v>
      </c>
      <c r="M209" t="s">
        <v>31</v>
      </c>
      <c r="N209">
        <v>0</v>
      </c>
      <c r="O209" t="s">
        <v>31</v>
      </c>
      <c r="P209" t="s">
        <v>60</v>
      </c>
      <c r="Q209" t="s">
        <v>98</v>
      </c>
      <c r="R209" t="s">
        <v>61</v>
      </c>
      <c r="S209" t="s">
        <v>31</v>
      </c>
      <c r="T209">
        <v>139</v>
      </c>
      <c r="U209">
        <v>360</v>
      </c>
      <c r="V209" t="s">
        <v>37</v>
      </c>
      <c r="W209" t="s">
        <v>38</v>
      </c>
      <c r="X209" t="s">
        <v>48</v>
      </c>
      <c r="Y209">
        <v>0</v>
      </c>
      <c r="Z209" t="s">
        <v>40</v>
      </c>
      <c r="AA209">
        <v>0</v>
      </c>
    </row>
    <row r="210" spans="1:27" x14ac:dyDescent="0.25">
      <c r="A210">
        <v>210</v>
      </c>
      <c r="B210" t="s">
        <v>27</v>
      </c>
      <c r="C210">
        <v>712</v>
      </c>
      <c r="D210" t="s">
        <v>53</v>
      </c>
      <c r="E210">
        <v>5118230020090100</v>
      </c>
      <c r="F210">
        <v>5118230020090100</v>
      </c>
      <c r="G210" t="s">
        <v>523</v>
      </c>
      <c r="H210" t="s">
        <v>524</v>
      </c>
      <c r="I210" t="s">
        <v>31</v>
      </c>
      <c r="J210" t="s">
        <v>30</v>
      </c>
      <c r="K210" t="s">
        <v>525</v>
      </c>
      <c r="L210" t="s">
        <v>31</v>
      </c>
      <c r="M210" t="s">
        <v>31</v>
      </c>
      <c r="N210" t="s">
        <v>31</v>
      </c>
      <c r="O210" t="s">
        <v>31</v>
      </c>
      <c r="P210" t="s">
        <v>31</v>
      </c>
      <c r="Q210" t="s">
        <v>31</v>
      </c>
      <c r="R210" t="s">
        <v>31</v>
      </c>
      <c r="S210" t="s">
        <v>31</v>
      </c>
      <c r="T210">
        <v>19</v>
      </c>
      <c r="U210">
        <v>24</v>
      </c>
      <c r="V210" t="s">
        <v>31</v>
      </c>
      <c r="W210" t="s">
        <v>31</v>
      </c>
      <c r="X210" t="s">
        <v>31</v>
      </c>
      <c r="Y210" t="s">
        <v>31</v>
      </c>
      <c r="Z210" t="s">
        <v>31</v>
      </c>
      <c r="AA210">
        <v>0</v>
      </c>
    </row>
    <row r="211" spans="1:27" x14ac:dyDescent="0.25">
      <c r="A211">
        <v>211</v>
      </c>
      <c r="B211" t="s">
        <v>27</v>
      </c>
      <c r="C211">
        <v>480</v>
      </c>
      <c r="D211" t="s">
        <v>53</v>
      </c>
      <c r="E211">
        <v>5118230000039000</v>
      </c>
      <c r="F211">
        <v>5118230000039000</v>
      </c>
      <c r="G211" t="s">
        <v>526</v>
      </c>
      <c r="H211">
        <v>39</v>
      </c>
      <c r="I211">
        <v>6253020045</v>
      </c>
      <c r="J211" t="s">
        <v>30</v>
      </c>
      <c r="K211" t="s">
        <v>527</v>
      </c>
      <c r="L211" t="s">
        <v>31</v>
      </c>
      <c r="M211" t="s">
        <v>31</v>
      </c>
      <c r="N211">
        <v>0</v>
      </c>
      <c r="O211" t="s">
        <v>59</v>
      </c>
      <c r="P211" t="s">
        <v>528</v>
      </c>
      <c r="Q211" t="s">
        <v>98</v>
      </c>
      <c r="R211" t="s">
        <v>61</v>
      </c>
      <c r="S211" t="s">
        <v>31</v>
      </c>
      <c r="T211">
        <v>39</v>
      </c>
      <c r="U211">
        <v>100</v>
      </c>
      <c r="V211" t="s">
        <v>31</v>
      </c>
      <c r="W211" t="s">
        <v>52</v>
      </c>
      <c r="X211" t="s">
        <v>39</v>
      </c>
      <c r="Y211">
        <v>0</v>
      </c>
      <c r="Z211" t="s">
        <v>40</v>
      </c>
      <c r="AA211">
        <v>0</v>
      </c>
    </row>
    <row r="212" spans="1:27" x14ac:dyDescent="0.25">
      <c r="A212">
        <v>212</v>
      </c>
      <c r="B212" t="s">
        <v>27</v>
      </c>
      <c r="C212">
        <v>505</v>
      </c>
      <c r="D212" t="s">
        <v>28</v>
      </c>
      <c r="E212">
        <v>5118230000064000</v>
      </c>
      <c r="F212">
        <v>5118230000064000</v>
      </c>
      <c r="G212" t="s">
        <v>529</v>
      </c>
      <c r="H212">
        <v>64</v>
      </c>
      <c r="I212">
        <v>6253060064</v>
      </c>
      <c r="J212" t="s">
        <v>30</v>
      </c>
      <c r="K212" t="s">
        <v>530</v>
      </c>
      <c r="L212" t="s">
        <v>31</v>
      </c>
      <c r="M212" t="s">
        <v>31</v>
      </c>
      <c r="N212">
        <v>0</v>
      </c>
      <c r="O212" t="s">
        <v>531</v>
      </c>
      <c r="P212" t="s">
        <v>532</v>
      </c>
      <c r="Q212" t="s">
        <v>47</v>
      </c>
      <c r="R212" t="s">
        <v>73</v>
      </c>
      <c r="S212" t="s">
        <v>73</v>
      </c>
      <c r="T212">
        <v>32</v>
      </c>
      <c r="U212">
        <v>35</v>
      </c>
      <c r="V212" t="s">
        <v>37</v>
      </c>
      <c r="W212" t="s">
        <v>52</v>
      </c>
      <c r="X212" t="s">
        <v>39</v>
      </c>
      <c r="Y212">
        <v>0</v>
      </c>
      <c r="Z212" t="s">
        <v>40</v>
      </c>
      <c r="AA212">
        <v>0</v>
      </c>
    </row>
    <row r="213" spans="1:27" x14ac:dyDescent="0.25">
      <c r="A213">
        <v>213</v>
      </c>
      <c r="B213" t="s">
        <v>27</v>
      </c>
      <c r="C213">
        <v>734</v>
      </c>
      <c r="D213" t="s">
        <v>53</v>
      </c>
      <c r="E213">
        <v>5118230080060100</v>
      </c>
      <c r="F213">
        <v>5118230080060100</v>
      </c>
      <c r="G213" t="s">
        <v>533</v>
      </c>
      <c r="H213" t="s">
        <v>534</v>
      </c>
      <c r="I213" t="s">
        <v>31</v>
      </c>
      <c r="J213" t="s">
        <v>30</v>
      </c>
      <c r="K213" t="s">
        <v>535</v>
      </c>
      <c r="L213" t="s">
        <v>31</v>
      </c>
      <c r="M213" t="s">
        <v>31</v>
      </c>
      <c r="N213" t="s">
        <v>31</v>
      </c>
      <c r="O213" t="s">
        <v>31</v>
      </c>
      <c r="P213" t="s">
        <v>31</v>
      </c>
      <c r="Q213" t="s">
        <v>31</v>
      </c>
      <c r="R213" t="s">
        <v>31</v>
      </c>
      <c r="S213" t="s">
        <v>31</v>
      </c>
      <c r="T213">
        <v>17</v>
      </c>
      <c r="U213">
        <v>25</v>
      </c>
      <c r="V213" t="s">
        <v>31</v>
      </c>
      <c r="W213" t="s">
        <v>31</v>
      </c>
      <c r="X213" t="s">
        <v>31</v>
      </c>
      <c r="Y213" t="s">
        <v>31</v>
      </c>
      <c r="Z213" t="s">
        <v>31</v>
      </c>
      <c r="AA213">
        <v>0</v>
      </c>
    </row>
    <row r="214" spans="1:27" x14ac:dyDescent="0.25">
      <c r="A214">
        <v>214</v>
      </c>
      <c r="B214" t="s">
        <v>27</v>
      </c>
      <c r="C214">
        <v>718</v>
      </c>
      <c r="D214" t="s">
        <v>53</v>
      </c>
      <c r="E214">
        <v>5118230050040100</v>
      </c>
      <c r="F214">
        <v>5118230050040100</v>
      </c>
      <c r="G214" t="s">
        <v>536</v>
      </c>
      <c r="H214" t="s">
        <v>537</v>
      </c>
      <c r="I214" t="s">
        <v>31</v>
      </c>
      <c r="J214" t="s">
        <v>30</v>
      </c>
      <c r="K214" t="s">
        <v>538</v>
      </c>
      <c r="L214" t="s">
        <v>31</v>
      </c>
      <c r="M214" t="s">
        <v>31</v>
      </c>
      <c r="N214" t="s">
        <v>31</v>
      </c>
      <c r="O214" t="s">
        <v>31</v>
      </c>
      <c r="P214" t="s">
        <v>31</v>
      </c>
      <c r="Q214" t="s">
        <v>31</v>
      </c>
      <c r="R214" t="s">
        <v>31</v>
      </c>
      <c r="S214" t="s">
        <v>31</v>
      </c>
      <c r="T214">
        <v>113</v>
      </c>
      <c r="U214">
        <v>167</v>
      </c>
      <c r="V214" t="s">
        <v>31</v>
      </c>
      <c r="W214" t="s">
        <v>31</v>
      </c>
      <c r="X214" t="s">
        <v>31</v>
      </c>
      <c r="Y214" t="s">
        <v>31</v>
      </c>
      <c r="Z214" t="s">
        <v>31</v>
      </c>
      <c r="AA214">
        <v>0</v>
      </c>
    </row>
    <row r="215" spans="1:27" x14ac:dyDescent="0.25">
      <c r="A215">
        <v>215</v>
      </c>
      <c r="B215" t="s">
        <v>27</v>
      </c>
      <c r="C215">
        <v>940</v>
      </c>
      <c r="D215" t="s">
        <v>53</v>
      </c>
      <c r="E215">
        <v>5118232160040100</v>
      </c>
      <c r="F215">
        <v>5118232160040100</v>
      </c>
      <c r="G215" t="s">
        <v>536</v>
      </c>
      <c r="H215" t="s">
        <v>537</v>
      </c>
      <c r="I215" t="s">
        <v>31</v>
      </c>
      <c r="J215" t="s">
        <v>30</v>
      </c>
      <c r="K215" t="s">
        <v>538</v>
      </c>
      <c r="L215" t="s">
        <v>31</v>
      </c>
      <c r="M215" t="s">
        <v>31</v>
      </c>
      <c r="N215" t="s">
        <v>31</v>
      </c>
      <c r="O215" t="s">
        <v>31</v>
      </c>
      <c r="P215" t="s">
        <v>31</v>
      </c>
      <c r="Q215" t="s">
        <v>31</v>
      </c>
      <c r="R215" t="s">
        <v>31</v>
      </c>
      <c r="S215" t="s">
        <v>31</v>
      </c>
      <c r="T215">
        <v>113</v>
      </c>
      <c r="U215">
        <v>167</v>
      </c>
      <c r="V215" t="s">
        <v>31</v>
      </c>
      <c r="W215" t="s">
        <v>31</v>
      </c>
      <c r="X215" t="s">
        <v>31</v>
      </c>
      <c r="Y215" t="s">
        <v>31</v>
      </c>
      <c r="Z215" t="s">
        <v>31</v>
      </c>
      <c r="AA215">
        <v>0</v>
      </c>
    </row>
    <row r="216" spans="1:27" x14ac:dyDescent="0.25">
      <c r="A216">
        <v>216</v>
      </c>
      <c r="B216" t="s">
        <v>27</v>
      </c>
      <c r="C216">
        <v>759</v>
      </c>
      <c r="D216" t="s">
        <v>53</v>
      </c>
      <c r="E216">
        <v>5118230110010100</v>
      </c>
      <c r="F216">
        <v>5118230110010100</v>
      </c>
      <c r="G216" t="s">
        <v>539</v>
      </c>
      <c r="H216" t="s">
        <v>540</v>
      </c>
      <c r="I216" t="s">
        <v>31</v>
      </c>
      <c r="J216" t="s">
        <v>30</v>
      </c>
      <c r="K216" t="s">
        <v>541</v>
      </c>
      <c r="L216" t="s">
        <v>31</v>
      </c>
      <c r="M216" t="s">
        <v>31</v>
      </c>
      <c r="N216" t="s">
        <v>31</v>
      </c>
      <c r="O216" t="s">
        <v>31</v>
      </c>
      <c r="P216" t="s">
        <v>31</v>
      </c>
      <c r="Q216" t="s">
        <v>31</v>
      </c>
      <c r="R216" t="s">
        <v>31</v>
      </c>
      <c r="S216" t="s">
        <v>31</v>
      </c>
      <c r="T216">
        <v>11</v>
      </c>
      <c r="U216">
        <v>15</v>
      </c>
      <c r="V216" t="s">
        <v>31</v>
      </c>
      <c r="W216" t="s">
        <v>31</v>
      </c>
      <c r="X216" t="s">
        <v>31</v>
      </c>
      <c r="Y216" t="s">
        <v>31</v>
      </c>
      <c r="Z216" t="s">
        <v>31</v>
      </c>
      <c r="AA216">
        <v>0</v>
      </c>
    </row>
    <row r="217" spans="1:27" x14ac:dyDescent="0.25">
      <c r="A217">
        <v>217</v>
      </c>
      <c r="B217" t="s">
        <v>27</v>
      </c>
      <c r="C217">
        <v>720</v>
      </c>
      <c r="D217" t="s">
        <v>53</v>
      </c>
      <c r="E217">
        <v>5118230060000100</v>
      </c>
      <c r="F217">
        <v>5118230060000100</v>
      </c>
      <c r="G217" t="s">
        <v>542</v>
      </c>
      <c r="H217" t="s">
        <v>543</v>
      </c>
      <c r="I217" t="s">
        <v>31</v>
      </c>
      <c r="J217" t="s">
        <v>30</v>
      </c>
      <c r="K217" t="s">
        <v>544</v>
      </c>
      <c r="L217" t="s">
        <v>31</v>
      </c>
      <c r="M217" t="s">
        <v>31</v>
      </c>
      <c r="N217" t="s">
        <v>31</v>
      </c>
      <c r="O217" t="s">
        <v>31</v>
      </c>
      <c r="P217" t="s">
        <v>31</v>
      </c>
      <c r="Q217" t="s">
        <v>31</v>
      </c>
      <c r="R217" t="s">
        <v>31</v>
      </c>
      <c r="S217" t="s">
        <v>31</v>
      </c>
      <c r="T217">
        <v>62</v>
      </c>
      <c r="U217">
        <v>88</v>
      </c>
      <c r="V217" t="s">
        <v>31</v>
      </c>
      <c r="W217" t="s">
        <v>31</v>
      </c>
      <c r="X217" t="s">
        <v>31</v>
      </c>
      <c r="Y217" t="s">
        <v>31</v>
      </c>
      <c r="Z217" t="s">
        <v>31</v>
      </c>
      <c r="AA217">
        <v>0</v>
      </c>
    </row>
    <row r="218" spans="1:27" x14ac:dyDescent="0.25">
      <c r="A218">
        <v>218</v>
      </c>
      <c r="B218" t="s">
        <v>27</v>
      </c>
      <c r="C218">
        <v>485</v>
      </c>
      <c r="D218" t="s">
        <v>53</v>
      </c>
      <c r="E218">
        <v>5118230000044000</v>
      </c>
      <c r="F218">
        <v>5118230000044000</v>
      </c>
      <c r="G218" t="s">
        <v>545</v>
      </c>
      <c r="H218">
        <v>44</v>
      </c>
      <c r="I218">
        <v>6253020044</v>
      </c>
      <c r="J218" t="s">
        <v>30</v>
      </c>
      <c r="K218" t="s">
        <v>527</v>
      </c>
      <c r="L218" t="s">
        <v>31</v>
      </c>
      <c r="M218" t="s">
        <v>31</v>
      </c>
      <c r="N218">
        <v>0</v>
      </c>
      <c r="O218" t="s">
        <v>59</v>
      </c>
      <c r="P218" t="s">
        <v>528</v>
      </c>
      <c r="Q218" t="s">
        <v>31</v>
      </c>
      <c r="R218" t="s">
        <v>61</v>
      </c>
      <c r="S218" t="s">
        <v>61</v>
      </c>
      <c r="T218">
        <v>60</v>
      </c>
      <c r="U218">
        <v>60</v>
      </c>
      <c r="V218" t="s">
        <v>52</v>
      </c>
      <c r="W218" t="s">
        <v>52</v>
      </c>
      <c r="X218" t="s">
        <v>39</v>
      </c>
      <c r="Y218">
        <v>0</v>
      </c>
      <c r="Z218" t="s">
        <v>40</v>
      </c>
      <c r="AA218">
        <v>0</v>
      </c>
    </row>
    <row r="219" spans="1:27" x14ac:dyDescent="0.25">
      <c r="A219">
        <v>219</v>
      </c>
      <c r="B219" t="s">
        <v>27</v>
      </c>
      <c r="C219">
        <v>486</v>
      </c>
      <c r="D219" t="s">
        <v>53</v>
      </c>
      <c r="E219">
        <v>5118230000045000</v>
      </c>
      <c r="F219">
        <v>5118230000045000</v>
      </c>
      <c r="G219" t="s">
        <v>546</v>
      </c>
      <c r="H219">
        <v>45</v>
      </c>
      <c r="I219">
        <v>6253020039</v>
      </c>
      <c r="J219" t="s">
        <v>30</v>
      </c>
      <c r="K219" t="s">
        <v>527</v>
      </c>
      <c r="L219" t="s">
        <v>31</v>
      </c>
      <c r="M219" t="s">
        <v>31</v>
      </c>
      <c r="N219">
        <v>0</v>
      </c>
      <c r="O219" t="s">
        <v>67</v>
      </c>
      <c r="P219" t="s">
        <v>528</v>
      </c>
      <c r="Q219" t="s">
        <v>47</v>
      </c>
      <c r="R219" t="s">
        <v>61</v>
      </c>
      <c r="S219" t="s">
        <v>61</v>
      </c>
      <c r="T219">
        <v>25</v>
      </c>
      <c r="U219">
        <v>60</v>
      </c>
      <c r="V219" t="s">
        <v>52</v>
      </c>
      <c r="W219" t="s">
        <v>52</v>
      </c>
      <c r="X219" t="s">
        <v>39</v>
      </c>
      <c r="Y219">
        <v>0</v>
      </c>
      <c r="Z219" t="s">
        <v>40</v>
      </c>
      <c r="AA219">
        <v>0</v>
      </c>
    </row>
    <row r="220" spans="1:27" x14ac:dyDescent="0.25">
      <c r="A220">
        <v>220</v>
      </c>
      <c r="B220" t="s">
        <v>27</v>
      </c>
      <c r="C220">
        <v>478</v>
      </c>
      <c r="D220" t="s">
        <v>53</v>
      </c>
      <c r="E220">
        <v>5118230000037000</v>
      </c>
      <c r="F220">
        <v>5118230000037000</v>
      </c>
      <c r="G220" t="s">
        <v>539</v>
      </c>
      <c r="H220">
        <v>37</v>
      </c>
      <c r="I220">
        <v>6253050037</v>
      </c>
      <c r="J220" t="s">
        <v>30</v>
      </c>
      <c r="K220" t="s">
        <v>547</v>
      </c>
      <c r="L220" t="s">
        <v>31</v>
      </c>
      <c r="M220" t="s">
        <v>31</v>
      </c>
      <c r="N220">
        <v>0</v>
      </c>
      <c r="O220" t="s">
        <v>59</v>
      </c>
      <c r="P220" t="s">
        <v>60</v>
      </c>
      <c r="Q220" t="s">
        <v>98</v>
      </c>
      <c r="R220" t="s">
        <v>61</v>
      </c>
      <c r="S220" t="s">
        <v>61</v>
      </c>
      <c r="T220">
        <v>16</v>
      </c>
      <c r="U220">
        <v>50</v>
      </c>
      <c r="V220" t="s">
        <v>31</v>
      </c>
      <c r="W220" t="s">
        <v>52</v>
      </c>
      <c r="X220" t="s">
        <v>39</v>
      </c>
      <c r="Y220">
        <v>0</v>
      </c>
      <c r="Z220" t="s">
        <v>40</v>
      </c>
      <c r="AA220">
        <v>0</v>
      </c>
    </row>
    <row r="221" spans="1:27" x14ac:dyDescent="0.25">
      <c r="A221">
        <v>221</v>
      </c>
      <c r="B221" t="s">
        <v>27</v>
      </c>
      <c r="C221">
        <v>496</v>
      </c>
      <c r="D221" t="s">
        <v>53</v>
      </c>
      <c r="E221">
        <v>5118230000055000</v>
      </c>
      <c r="F221">
        <v>5118230000055000</v>
      </c>
      <c r="G221" t="s">
        <v>533</v>
      </c>
      <c r="H221">
        <v>55</v>
      </c>
      <c r="I221">
        <v>6253010055</v>
      </c>
      <c r="J221" t="s">
        <v>30</v>
      </c>
      <c r="K221" t="s">
        <v>548</v>
      </c>
      <c r="L221" t="s">
        <v>31</v>
      </c>
      <c r="M221" t="s">
        <v>31</v>
      </c>
      <c r="N221">
        <v>0</v>
      </c>
      <c r="O221" t="s">
        <v>59</v>
      </c>
      <c r="P221" t="s">
        <v>549</v>
      </c>
      <c r="Q221" t="s">
        <v>35</v>
      </c>
      <c r="R221" t="s">
        <v>61</v>
      </c>
      <c r="S221" t="s">
        <v>31</v>
      </c>
      <c r="T221">
        <v>130</v>
      </c>
      <c r="U221">
        <v>150</v>
      </c>
      <c r="V221" t="s">
        <v>52</v>
      </c>
      <c r="W221" t="s">
        <v>38</v>
      </c>
      <c r="X221" t="s">
        <v>99</v>
      </c>
      <c r="Y221">
        <v>0</v>
      </c>
      <c r="Z221" t="s">
        <v>40</v>
      </c>
      <c r="AA221">
        <v>0</v>
      </c>
    </row>
    <row r="222" spans="1:27" x14ac:dyDescent="0.25">
      <c r="A222">
        <v>222</v>
      </c>
      <c r="B222" t="s">
        <v>27</v>
      </c>
      <c r="C222">
        <v>719</v>
      </c>
      <c r="D222" t="s">
        <v>53</v>
      </c>
      <c r="E222">
        <v>5118230050050100</v>
      </c>
      <c r="F222">
        <v>5118230050050100</v>
      </c>
      <c r="G222" t="s">
        <v>550</v>
      </c>
      <c r="H222" t="s">
        <v>551</v>
      </c>
      <c r="I222" t="s">
        <v>31</v>
      </c>
      <c r="J222" t="s">
        <v>30</v>
      </c>
      <c r="K222" t="s">
        <v>552</v>
      </c>
      <c r="L222" t="s">
        <v>31</v>
      </c>
      <c r="M222" t="s">
        <v>31</v>
      </c>
      <c r="N222" t="s">
        <v>31</v>
      </c>
      <c r="O222" t="s">
        <v>31</v>
      </c>
      <c r="P222" t="s">
        <v>31</v>
      </c>
      <c r="Q222" t="s">
        <v>31</v>
      </c>
      <c r="R222" t="s">
        <v>31</v>
      </c>
      <c r="S222" t="s">
        <v>31</v>
      </c>
      <c r="T222">
        <v>13</v>
      </c>
      <c r="U222">
        <v>26</v>
      </c>
      <c r="V222" t="s">
        <v>31</v>
      </c>
      <c r="W222" t="s">
        <v>31</v>
      </c>
      <c r="X222" t="s">
        <v>31</v>
      </c>
      <c r="Y222" t="s">
        <v>31</v>
      </c>
      <c r="Z222" t="s">
        <v>31</v>
      </c>
      <c r="AA222">
        <v>0</v>
      </c>
    </row>
    <row r="223" spans="1:27" x14ac:dyDescent="0.25">
      <c r="A223">
        <v>223</v>
      </c>
      <c r="B223" t="s">
        <v>27</v>
      </c>
      <c r="C223">
        <v>498</v>
      </c>
      <c r="D223" t="s">
        <v>53</v>
      </c>
      <c r="E223">
        <v>5118230000057000</v>
      </c>
      <c r="F223">
        <v>5118230000057000</v>
      </c>
      <c r="G223" t="s">
        <v>553</v>
      </c>
      <c r="H223">
        <v>57</v>
      </c>
      <c r="I223">
        <v>6253010057</v>
      </c>
      <c r="J223" t="s">
        <v>30</v>
      </c>
      <c r="K223" t="s">
        <v>554</v>
      </c>
      <c r="L223" t="s">
        <v>31</v>
      </c>
      <c r="M223" t="s">
        <v>31</v>
      </c>
      <c r="N223">
        <v>0</v>
      </c>
      <c r="O223" t="s">
        <v>59</v>
      </c>
      <c r="P223" t="s">
        <v>549</v>
      </c>
      <c r="Q223" t="s">
        <v>47</v>
      </c>
      <c r="R223" t="s">
        <v>61</v>
      </c>
      <c r="S223" t="s">
        <v>61</v>
      </c>
      <c r="T223">
        <v>7</v>
      </c>
      <c r="U223">
        <v>10</v>
      </c>
      <c r="V223" t="s">
        <v>31</v>
      </c>
      <c r="W223" t="s">
        <v>37</v>
      </c>
      <c r="X223" t="s">
        <v>39</v>
      </c>
      <c r="Y223">
        <v>0</v>
      </c>
      <c r="Z223" t="s">
        <v>40</v>
      </c>
      <c r="AA223">
        <v>0</v>
      </c>
    </row>
    <row r="224" spans="1:27" x14ac:dyDescent="0.25">
      <c r="A224">
        <v>224</v>
      </c>
      <c r="B224" t="s">
        <v>27</v>
      </c>
      <c r="C224">
        <v>487</v>
      </c>
      <c r="D224" t="s">
        <v>53</v>
      </c>
      <c r="E224">
        <v>5118230000046000</v>
      </c>
      <c r="F224">
        <v>5118230000046000</v>
      </c>
      <c r="G224" t="s">
        <v>555</v>
      </c>
      <c r="H224">
        <v>46</v>
      </c>
      <c r="I224">
        <v>6253020046</v>
      </c>
      <c r="J224" t="s">
        <v>30</v>
      </c>
      <c r="K224" t="s">
        <v>556</v>
      </c>
      <c r="L224" t="s">
        <v>31</v>
      </c>
      <c r="M224" t="s">
        <v>31</v>
      </c>
      <c r="N224">
        <v>0</v>
      </c>
      <c r="O224" t="s">
        <v>557</v>
      </c>
      <c r="P224" t="s">
        <v>558</v>
      </c>
      <c r="Q224" t="s">
        <v>47</v>
      </c>
      <c r="R224" t="s">
        <v>61</v>
      </c>
      <c r="S224" t="s">
        <v>61</v>
      </c>
      <c r="T224">
        <v>13</v>
      </c>
      <c r="U224">
        <v>50</v>
      </c>
      <c r="V224" t="s">
        <v>31</v>
      </c>
      <c r="W224" t="s">
        <v>52</v>
      </c>
      <c r="X224" t="s">
        <v>85</v>
      </c>
      <c r="Y224">
        <v>0</v>
      </c>
      <c r="Z224" t="s">
        <v>166</v>
      </c>
      <c r="AA224">
        <v>0</v>
      </c>
    </row>
    <row r="225" spans="1:27" x14ac:dyDescent="0.25">
      <c r="A225">
        <v>225</v>
      </c>
      <c r="B225" t="s">
        <v>27</v>
      </c>
      <c r="C225">
        <v>717</v>
      </c>
      <c r="D225" t="s">
        <v>53</v>
      </c>
      <c r="E225">
        <v>5118230050030100</v>
      </c>
      <c r="F225">
        <v>5118230050030100</v>
      </c>
      <c r="G225" t="s">
        <v>555</v>
      </c>
      <c r="H225" t="s">
        <v>559</v>
      </c>
      <c r="I225" t="s">
        <v>31</v>
      </c>
      <c r="J225" t="s">
        <v>30</v>
      </c>
      <c r="K225" t="s">
        <v>538</v>
      </c>
      <c r="L225" t="s">
        <v>31</v>
      </c>
      <c r="M225" t="s">
        <v>31</v>
      </c>
      <c r="N225" t="s">
        <v>31</v>
      </c>
      <c r="O225" t="s">
        <v>31</v>
      </c>
      <c r="P225" t="s">
        <v>31</v>
      </c>
      <c r="Q225" t="s">
        <v>31</v>
      </c>
      <c r="R225" t="s">
        <v>31</v>
      </c>
      <c r="S225" t="s">
        <v>31</v>
      </c>
      <c r="T225">
        <v>51</v>
      </c>
      <c r="U225">
        <v>64</v>
      </c>
      <c r="V225" t="s">
        <v>31</v>
      </c>
      <c r="W225" t="s">
        <v>31</v>
      </c>
      <c r="X225" t="s">
        <v>31</v>
      </c>
      <c r="Y225" t="s">
        <v>31</v>
      </c>
      <c r="Z225" t="s">
        <v>31</v>
      </c>
      <c r="AA225">
        <v>0</v>
      </c>
    </row>
    <row r="226" spans="1:27" x14ac:dyDescent="0.25">
      <c r="A226">
        <v>226</v>
      </c>
      <c r="B226" t="s">
        <v>27</v>
      </c>
      <c r="C226">
        <v>479</v>
      </c>
      <c r="D226" t="s">
        <v>53</v>
      </c>
      <c r="E226">
        <v>5118230000038000</v>
      </c>
      <c r="F226">
        <v>5118230000038000</v>
      </c>
      <c r="G226" t="s">
        <v>560</v>
      </c>
      <c r="H226">
        <v>38</v>
      </c>
      <c r="I226">
        <v>6253050038</v>
      </c>
      <c r="J226" t="s">
        <v>30</v>
      </c>
      <c r="K226" t="s">
        <v>561</v>
      </c>
      <c r="L226" t="s">
        <v>31</v>
      </c>
      <c r="M226" t="s">
        <v>31</v>
      </c>
      <c r="N226">
        <v>0</v>
      </c>
      <c r="O226" t="s">
        <v>31</v>
      </c>
      <c r="P226" t="s">
        <v>562</v>
      </c>
      <c r="Q226" t="s">
        <v>98</v>
      </c>
      <c r="R226" t="s">
        <v>61</v>
      </c>
      <c r="S226" t="s">
        <v>61</v>
      </c>
      <c r="T226">
        <v>16</v>
      </c>
      <c r="U226">
        <v>90</v>
      </c>
      <c r="V226" t="s">
        <v>31</v>
      </c>
      <c r="W226" t="s">
        <v>52</v>
      </c>
      <c r="X226" t="s">
        <v>85</v>
      </c>
      <c r="Y226">
        <v>0</v>
      </c>
      <c r="Z226" t="s">
        <v>40</v>
      </c>
      <c r="AA226">
        <v>20</v>
      </c>
    </row>
    <row r="227" spans="1:27" x14ac:dyDescent="0.25">
      <c r="A227">
        <v>227</v>
      </c>
      <c r="B227" t="s">
        <v>27</v>
      </c>
      <c r="C227">
        <v>756</v>
      </c>
      <c r="D227" t="s">
        <v>53</v>
      </c>
      <c r="E227">
        <v>5118230110000100</v>
      </c>
      <c r="F227">
        <v>5118230110000100</v>
      </c>
      <c r="G227" t="s">
        <v>560</v>
      </c>
      <c r="H227" t="s">
        <v>563</v>
      </c>
      <c r="I227" t="s">
        <v>31</v>
      </c>
      <c r="J227" t="s">
        <v>30</v>
      </c>
      <c r="K227" t="s">
        <v>541</v>
      </c>
      <c r="L227" t="s">
        <v>31</v>
      </c>
      <c r="M227" t="s">
        <v>31</v>
      </c>
      <c r="N227" t="s">
        <v>31</v>
      </c>
      <c r="O227" t="s">
        <v>31</v>
      </c>
      <c r="P227" t="s">
        <v>31</v>
      </c>
      <c r="Q227" t="s">
        <v>31</v>
      </c>
      <c r="R227" t="s">
        <v>31</v>
      </c>
      <c r="S227" t="s">
        <v>31</v>
      </c>
      <c r="T227">
        <v>36</v>
      </c>
      <c r="U227">
        <v>49</v>
      </c>
      <c r="V227" t="s">
        <v>31</v>
      </c>
      <c r="W227" t="s">
        <v>31</v>
      </c>
      <c r="X227" t="s">
        <v>31</v>
      </c>
      <c r="Y227" t="s">
        <v>31</v>
      </c>
      <c r="Z227" t="s">
        <v>31</v>
      </c>
      <c r="AA227">
        <v>0</v>
      </c>
    </row>
    <row r="228" spans="1:27" x14ac:dyDescent="0.25">
      <c r="A228">
        <v>228</v>
      </c>
      <c r="B228" t="s">
        <v>27</v>
      </c>
      <c r="C228">
        <v>704</v>
      </c>
      <c r="D228" t="s">
        <v>53</v>
      </c>
      <c r="E228">
        <v>5118230020010100</v>
      </c>
      <c r="F228">
        <v>5118230020010100</v>
      </c>
      <c r="G228" t="s">
        <v>564</v>
      </c>
      <c r="H228" t="s">
        <v>565</v>
      </c>
      <c r="I228" t="s">
        <v>31</v>
      </c>
      <c r="J228" t="s">
        <v>30</v>
      </c>
      <c r="K228" t="s">
        <v>484</v>
      </c>
      <c r="L228" t="s">
        <v>31</v>
      </c>
      <c r="M228" t="s">
        <v>31</v>
      </c>
      <c r="N228" t="s">
        <v>31</v>
      </c>
      <c r="O228" t="s">
        <v>31</v>
      </c>
      <c r="P228" t="s">
        <v>31</v>
      </c>
      <c r="Q228" t="s">
        <v>31</v>
      </c>
      <c r="R228" t="s">
        <v>31</v>
      </c>
      <c r="S228" t="s">
        <v>31</v>
      </c>
      <c r="T228">
        <v>9</v>
      </c>
      <c r="U228">
        <v>18</v>
      </c>
      <c r="V228" t="s">
        <v>31</v>
      </c>
      <c r="W228" t="s">
        <v>31</v>
      </c>
      <c r="X228" t="s">
        <v>31</v>
      </c>
      <c r="Y228" t="s">
        <v>31</v>
      </c>
      <c r="Z228" t="s">
        <v>31</v>
      </c>
      <c r="AA228">
        <v>0</v>
      </c>
    </row>
    <row r="229" spans="1:27" x14ac:dyDescent="0.25">
      <c r="A229">
        <v>229</v>
      </c>
      <c r="B229" t="s">
        <v>27</v>
      </c>
      <c r="C229">
        <v>702</v>
      </c>
      <c r="D229" t="s">
        <v>53</v>
      </c>
      <c r="E229">
        <v>5118230020000100</v>
      </c>
      <c r="F229">
        <v>5118230020000100</v>
      </c>
      <c r="G229" t="s">
        <v>566</v>
      </c>
      <c r="H229" t="s">
        <v>567</v>
      </c>
      <c r="I229" t="s">
        <v>31</v>
      </c>
      <c r="J229" t="s">
        <v>30</v>
      </c>
      <c r="K229" t="s">
        <v>484</v>
      </c>
      <c r="L229" t="s">
        <v>31</v>
      </c>
      <c r="M229" t="s">
        <v>31</v>
      </c>
      <c r="N229" t="s">
        <v>31</v>
      </c>
      <c r="O229" t="s">
        <v>31</v>
      </c>
      <c r="P229" t="s">
        <v>31</v>
      </c>
      <c r="Q229" t="s">
        <v>31</v>
      </c>
      <c r="R229" t="s">
        <v>31</v>
      </c>
      <c r="S229" t="s">
        <v>31</v>
      </c>
      <c r="T229">
        <v>91</v>
      </c>
      <c r="U229">
        <v>115</v>
      </c>
      <c r="V229" t="s">
        <v>31</v>
      </c>
      <c r="W229" t="s">
        <v>31</v>
      </c>
      <c r="X229" t="s">
        <v>31</v>
      </c>
      <c r="Y229" t="s">
        <v>31</v>
      </c>
      <c r="Z229" t="s">
        <v>31</v>
      </c>
      <c r="AA229">
        <v>0</v>
      </c>
    </row>
    <row r="230" spans="1:27" x14ac:dyDescent="0.25">
      <c r="A230">
        <v>230</v>
      </c>
      <c r="B230" t="s">
        <v>27</v>
      </c>
      <c r="C230">
        <v>458</v>
      </c>
      <c r="D230" t="s">
        <v>53</v>
      </c>
      <c r="E230">
        <v>5118230000017000</v>
      </c>
      <c r="F230">
        <v>5118230000017000</v>
      </c>
      <c r="G230" t="s">
        <v>568</v>
      </c>
      <c r="H230">
        <v>17</v>
      </c>
      <c r="I230">
        <v>6253070017</v>
      </c>
      <c r="J230" t="s">
        <v>30</v>
      </c>
      <c r="K230" t="s">
        <v>569</v>
      </c>
      <c r="L230" t="s">
        <v>31</v>
      </c>
      <c r="M230" t="s">
        <v>31</v>
      </c>
      <c r="N230">
        <v>0</v>
      </c>
      <c r="O230" t="s">
        <v>59</v>
      </c>
      <c r="P230" t="s">
        <v>118</v>
      </c>
      <c r="Q230" t="s">
        <v>47</v>
      </c>
      <c r="R230" t="s">
        <v>61</v>
      </c>
      <c r="S230" t="s">
        <v>61</v>
      </c>
      <c r="T230">
        <v>30</v>
      </c>
      <c r="U230">
        <v>70</v>
      </c>
      <c r="V230" t="s">
        <v>31</v>
      </c>
      <c r="W230" t="s">
        <v>52</v>
      </c>
      <c r="X230" t="s">
        <v>85</v>
      </c>
      <c r="Y230">
        <v>0</v>
      </c>
      <c r="Z230" t="s">
        <v>40</v>
      </c>
      <c r="AA230">
        <v>0</v>
      </c>
    </row>
    <row r="231" spans="1:27" x14ac:dyDescent="0.25">
      <c r="A231">
        <v>231</v>
      </c>
      <c r="B231" t="s">
        <v>27</v>
      </c>
      <c r="C231">
        <v>459</v>
      </c>
      <c r="D231" t="s">
        <v>53</v>
      </c>
      <c r="E231">
        <v>5118230000018000</v>
      </c>
      <c r="F231">
        <v>5118230000018000</v>
      </c>
      <c r="G231" t="s">
        <v>566</v>
      </c>
      <c r="H231">
        <v>18</v>
      </c>
      <c r="I231">
        <v>6253070018</v>
      </c>
      <c r="J231" t="s">
        <v>30</v>
      </c>
      <c r="K231" t="s">
        <v>570</v>
      </c>
      <c r="L231" t="s">
        <v>31</v>
      </c>
      <c r="M231" t="s">
        <v>31</v>
      </c>
      <c r="N231">
        <v>0</v>
      </c>
      <c r="O231" t="s">
        <v>59</v>
      </c>
      <c r="P231" t="s">
        <v>118</v>
      </c>
      <c r="Q231" t="s">
        <v>47</v>
      </c>
      <c r="R231" t="s">
        <v>61</v>
      </c>
      <c r="S231" t="s">
        <v>61</v>
      </c>
      <c r="T231">
        <v>110</v>
      </c>
      <c r="U231">
        <v>160</v>
      </c>
      <c r="V231" t="s">
        <v>37</v>
      </c>
      <c r="W231" t="s">
        <v>38</v>
      </c>
      <c r="X231" t="s">
        <v>85</v>
      </c>
      <c r="Y231">
        <v>0</v>
      </c>
      <c r="Z231" t="s">
        <v>40</v>
      </c>
      <c r="AA231">
        <v>0</v>
      </c>
    </row>
    <row r="232" spans="1:27" x14ac:dyDescent="0.25">
      <c r="A232">
        <v>232</v>
      </c>
      <c r="B232" t="s">
        <v>27</v>
      </c>
      <c r="C232">
        <v>697</v>
      </c>
      <c r="D232" t="s">
        <v>28</v>
      </c>
      <c r="E232">
        <v>5118230010000100</v>
      </c>
      <c r="F232">
        <v>5118230010000100</v>
      </c>
      <c r="G232" t="s">
        <v>571</v>
      </c>
      <c r="H232" t="s">
        <v>572</v>
      </c>
      <c r="I232" t="s">
        <v>31</v>
      </c>
      <c r="J232" t="s">
        <v>30</v>
      </c>
      <c r="K232" t="s">
        <v>573</v>
      </c>
      <c r="L232" t="s">
        <v>31</v>
      </c>
      <c r="M232" t="s">
        <v>31</v>
      </c>
      <c r="N232" t="s">
        <v>31</v>
      </c>
      <c r="O232" t="s">
        <v>31</v>
      </c>
      <c r="P232" t="s">
        <v>31</v>
      </c>
      <c r="Q232" t="s">
        <v>31</v>
      </c>
      <c r="R232" t="s">
        <v>31</v>
      </c>
      <c r="S232" t="s">
        <v>31</v>
      </c>
      <c r="T232">
        <v>52</v>
      </c>
      <c r="U232">
        <v>63</v>
      </c>
      <c r="V232" t="s">
        <v>31</v>
      </c>
      <c r="W232" t="s">
        <v>31</v>
      </c>
      <c r="X232" t="s">
        <v>31</v>
      </c>
      <c r="Y232" t="s">
        <v>31</v>
      </c>
      <c r="Z232" t="s">
        <v>31</v>
      </c>
      <c r="AA232">
        <v>0</v>
      </c>
    </row>
    <row r="233" spans="1:27" x14ac:dyDescent="0.25">
      <c r="A233">
        <v>233</v>
      </c>
      <c r="B233" t="s">
        <v>27</v>
      </c>
      <c r="C233">
        <v>497</v>
      </c>
      <c r="D233" t="s">
        <v>53</v>
      </c>
      <c r="E233">
        <v>5118230000056000</v>
      </c>
      <c r="F233">
        <v>5118230000056000</v>
      </c>
      <c r="G233" t="s">
        <v>574</v>
      </c>
      <c r="H233">
        <v>56</v>
      </c>
      <c r="I233">
        <v>6253010056</v>
      </c>
      <c r="J233" t="s">
        <v>30</v>
      </c>
      <c r="K233" t="s">
        <v>575</v>
      </c>
      <c r="L233" t="s">
        <v>31</v>
      </c>
      <c r="M233" t="s">
        <v>31</v>
      </c>
      <c r="N233">
        <v>0</v>
      </c>
      <c r="O233" t="s">
        <v>59</v>
      </c>
      <c r="P233" t="s">
        <v>81</v>
      </c>
      <c r="Q233" t="s">
        <v>47</v>
      </c>
      <c r="R233" t="s">
        <v>61</v>
      </c>
      <c r="S233" t="s">
        <v>61</v>
      </c>
      <c r="T233">
        <v>30</v>
      </c>
      <c r="U233">
        <v>70</v>
      </c>
      <c r="V233" t="s">
        <v>31</v>
      </c>
      <c r="W233" t="s">
        <v>52</v>
      </c>
      <c r="X233" t="s">
        <v>39</v>
      </c>
      <c r="Y233">
        <v>0</v>
      </c>
      <c r="Z233" t="s">
        <v>40</v>
      </c>
      <c r="AA233">
        <v>0</v>
      </c>
    </row>
    <row r="234" spans="1:27" x14ac:dyDescent="0.25">
      <c r="A234">
        <v>234</v>
      </c>
      <c r="B234" t="s">
        <v>27</v>
      </c>
      <c r="C234">
        <v>499</v>
      </c>
      <c r="D234" t="s">
        <v>53</v>
      </c>
      <c r="E234">
        <v>5118230000058000</v>
      </c>
      <c r="F234">
        <v>5118230000058000</v>
      </c>
      <c r="G234" t="s">
        <v>576</v>
      </c>
      <c r="H234">
        <v>58</v>
      </c>
      <c r="I234">
        <v>6253010058</v>
      </c>
      <c r="J234" t="s">
        <v>30</v>
      </c>
      <c r="K234" t="s">
        <v>577</v>
      </c>
      <c r="L234" t="s">
        <v>31</v>
      </c>
      <c r="M234" t="s">
        <v>31</v>
      </c>
      <c r="N234">
        <v>0</v>
      </c>
      <c r="O234" t="s">
        <v>59</v>
      </c>
      <c r="P234" t="s">
        <v>81</v>
      </c>
      <c r="Q234" t="s">
        <v>47</v>
      </c>
      <c r="R234" t="s">
        <v>61</v>
      </c>
      <c r="S234" t="s">
        <v>61</v>
      </c>
      <c r="T234">
        <v>6</v>
      </c>
      <c r="U234">
        <v>5</v>
      </c>
      <c r="V234" t="s">
        <v>31</v>
      </c>
      <c r="W234" t="s">
        <v>37</v>
      </c>
      <c r="X234" t="s">
        <v>39</v>
      </c>
      <c r="Y234">
        <v>0</v>
      </c>
      <c r="Z234" t="s">
        <v>40</v>
      </c>
      <c r="AA234">
        <v>0</v>
      </c>
    </row>
    <row r="235" spans="1:27" x14ac:dyDescent="0.25">
      <c r="A235">
        <v>235</v>
      </c>
      <c r="B235" t="s">
        <v>27</v>
      </c>
      <c r="C235">
        <v>732</v>
      </c>
      <c r="D235" t="s">
        <v>53</v>
      </c>
      <c r="E235">
        <v>5118230080040100</v>
      </c>
      <c r="F235">
        <v>5118230080040100</v>
      </c>
      <c r="G235" t="s">
        <v>576</v>
      </c>
      <c r="H235" t="s">
        <v>578</v>
      </c>
      <c r="I235" t="s">
        <v>31</v>
      </c>
      <c r="J235" t="s">
        <v>30</v>
      </c>
      <c r="K235" t="s">
        <v>535</v>
      </c>
      <c r="L235" t="s">
        <v>31</v>
      </c>
      <c r="M235" t="s">
        <v>31</v>
      </c>
      <c r="N235" t="s">
        <v>31</v>
      </c>
      <c r="O235" t="s">
        <v>31</v>
      </c>
      <c r="P235" t="s">
        <v>31</v>
      </c>
      <c r="Q235" t="s">
        <v>31</v>
      </c>
      <c r="R235" t="s">
        <v>31</v>
      </c>
      <c r="S235" t="s">
        <v>31</v>
      </c>
      <c r="T235">
        <v>26</v>
      </c>
      <c r="U235">
        <v>37</v>
      </c>
      <c r="V235" t="s">
        <v>31</v>
      </c>
      <c r="W235" t="s">
        <v>31</v>
      </c>
      <c r="X235" t="s">
        <v>31</v>
      </c>
      <c r="Y235" t="s">
        <v>31</v>
      </c>
      <c r="Z235" t="s">
        <v>31</v>
      </c>
      <c r="AA235">
        <v>0</v>
      </c>
    </row>
    <row r="236" spans="1:27" x14ac:dyDescent="0.25">
      <c r="A236">
        <v>236</v>
      </c>
      <c r="B236" t="s">
        <v>27</v>
      </c>
      <c r="C236">
        <v>731</v>
      </c>
      <c r="D236" t="s">
        <v>53</v>
      </c>
      <c r="E236">
        <v>5118230080030100</v>
      </c>
      <c r="F236">
        <v>5118230080030100</v>
      </c>
      <c r="G236" t="s">
        <v>553</v>
      </c>
      <c r="H236" t="s">
        <v>579</v>
      </c>
      <c r="I236" t="s">
        <v>31</v>
      </c>
      <c r="J236" t="s">
        <v>30</v>
      </c>
      <c r="K236" t="s">
        <v>535</v>
      </c>
      <c r="L236" t="s">
        <v>31</v>
      </c>
      <c r="M236" t="s">
        <v>31</v>
      </c>
      <c r="N236" t="s">
        <v>31</v>
      </c>
      <c r="O236" t="s">
        <v>31</v>
      </c>
      <c r="P236" t="s">
        <v>31</v>
      </c>
      <c r="Q236" t="s">
        <v>31</v>
      </c>
      <c r="R236" t="s">
        <v>31</v>
      </c>
      <c r="S236" t="s">
        <v>31</v>
      </c>
      <c r="T236">
        <v>42</v>
      </c>
      <c r="U236">
        <v>56</v>
      </c>
      <c r="V236" t="s">
        <v>31</v>
      </c>
      <c r="W236" t="s">
        <v>31</v>
      </c>
      <c r="X236" t="s">
        <v>31</v>
      </c>
      <c r="Y236" t="s">
        <v>31</v>
      </c>
      <c r="Z236" t="s">
        <v>31</v>
      </c>
      <c r="AA236">
        <v>0</v>
      </c>
    </row>
    <row r="237" spans="1:27" x14ac:dyDescent="0.25">
      <c r="A237">
        <v>237</v>
      </c>
      <c r="B237" t="s">
        <v>27</v>
      </c>
      <c r="C237">
        <v>730</v>
      </c>
      <c r="D237" t="s">
        <v>53</v>
      </c>
      <c r="E237">
        <v>5118230080020100</v>
      </c>
      <c r="F237">
        <v>5118230080020100</v>
      </c>
      <c r="G237" t="s">
        <v>580</v>
      </c>
      <c r="H237" t="s">
        <v>581</v>
      </c>
      <c r="I237" t="s">
        <v>31</v>
      </c>
      <c r="J237" t="s">
        <v>30</v>
      </c>
      <c r="K237" t="s">
        <v>582</v>
      </c>
      <c r="L237" t="s">
        <v>31</v>
      </c>
      <c r="M237" t="s">
        <v>31</v>
      </c>
      <c r="N237" t="s">
        <v>31</v>
      </c>
      <c r="O237" t="s">
        <v>31</v>
      </c>
      <c r="P237" t="s">
        <v>31</v>
      </c>
      <c r="Q237" t="s">
        <v>31</v>
      </c>
      <c r="R237" t="s">
        <v>31</v>
      </c>
      <c r="S237" t="s">
        <v>31</v>
      </c>
      <c r="T237">
        <v>40</v>
      </c>
      <c r="U237">
        <v>68</v>
      </c>
      <c r="V237" t="s">
        <v>31</v>
      </c>
      <c r="W237" t="s">
        <v>31</v>
      </c>
      <c r="X237" t="s">
        <v>31</v>
      </c>
      <c r="Y237" t="s">
        <v>31</v>
      </c>
      <c r="Z237" t="s">
        <v>31</v>
      </c>
      <c r="AA237">
        <v>0</v>
      </c>
    </row>
    <row r="238" spans="1:27" x14ac:dyDescent="0.25">
      <c r="A238">
        <v>238</v>
      </c>
      <c r="B238" t="s">
        <v>27</v>
      </c>
      <c r="C238">
        <v>502</v>
      </c>
      <c r="D238" t="s">
        <v>53</v>
      </c>
      <c r="E238">
        <v>5118230000061000</v>
      </c>
      <c r="F238">
        <v>5118230000061000</v>
      </c>
      <c r="G238" t="s">
        <v>583</v>
      </c>
      <c r="H238">
        <v>61</v>
      </c>
      <c r="I238">
        <v>6253010061</v>
      </c>
      <c r="J238" t="s">
        <v>30</v>
      </c>
      <c r="K238" t="s">
        <v>584</v>
      </c>
      <c r="L238" t="s">
        <v>31</v>
      </c>
      <c r="M238" t="s">
        <v>31</v>
      </c>
      <c r="N238">
        <v>0</v>
      </c>
      <c r="O238" t="s">
        <v>59</v>
      </c>
      <c r="P238" t="s">
        <v>585</v>
      </c>
      <c r="Q238" t="s">
        <v>98</v>
      </c>
      <c r="R238" t="s">
        <v>61</v>
      </c>
      <c r="S238" t="s">
        <v>61</v>
      </c>
      <c r="T238">
        <v>22</v>
      </c>
      <c r="U238">
        <v>50</v>
      </c>
      <c r="V238" t="s">
        <v>31</v>
      </c>
      <c r="W238" t="s">
        <v>52</v>
      </c>
      <c r="X238" t="s">
        <v>39</v>
      </c>
      <c r="Y238">
        <v>0</v>
      </c>
      <c r="Z238" t="s">
        <v>40</v>
      </c>
      <c r="AA238">
        <v>0</v>
      </c>
    </row>
    <row r="239" spans="1:27" x14ac:dyDescent="0.25">
      <c r="A239">
        <v>239</v>
      </c>
      <c r="B239" t="s">
        <v>27</v>
      </c>
      <c r="C239">
        <v>728</v>
      </c>
      <c r="D239" t="s">
        <v>53</v>
      </c>
      <c r="E239">
        <v>5118230080000100</v>
      </c>
      <c r="F239">
        <v>5118230080000100</v>
      </c>
      <c r="G239" t="s">
        <v>586</v>
      </c>
      <c r="H239" t="s">
        <v>587</v>
      </c>
      <c r="I239" t="s">
        <v>31</v>
      </c>
      <c r="J239" t="s">
        <v>30</v>
      </c>
      <c r="K239" t="s">
        <v>582</v>
      </c>
      <c r="L239" t="s">
        <v>31</v>
      </c>
      <c r="M239" t="s">
        <v>31</v>
      </c>
      <c r="N239" t="s">
        <v>31</v>
      </c>
      <c r="O239" t="s">
        <v>31</v>
      </c>
      <c r="P239" t="s">
        <v>31</v>
      </c>
      <c r="Q239" t="s">
        <v>31</v>
      </c>
      <c r="R239" t="s">
        <v>31</v>
      </c>
      <c r="S239" t="s">
        <v>31</v>
      </c>
      <c r="T239">
        <v>62</v>
      </c>
      <c r="U239">
        <v>78</v>
      </c>
      <c r="V239" t="s">
        <v>31</v>
      </c>
      <c r="W239" t="s">
        <v>31</v>
      </c>
      <c r="X239" t="s">
        <v>31</v>
      </c>
      <c r="Y239" t="s">
        <v>31</v>
      </c>
      <c r="Z239" t="s">
        <v>31</v>
      </c>
      <c r="AA239">
        <v>0</v>
      </c>
    </row>
    <row r="240" spans="1:27" x14ac:dyDescent="0.25">
      <c r="A240">
        <v>240</v>
      </c>
      <c r="B240" t="s">
        <v>27</v>
      </c>
      <c r="C240">
        <v>733</v>
      </c>
      <c r="D240" t="s">
        <v>53</v>
      </c>
      <c r="E240">
        <v>5118230080050100</v>
      </c>
      <c r="F240">
        <v>5118230080050100</v>
      </c>
      <c r="G240" t="s">
        <v>574</v>
      </c>
      <c r="H240" t="s">
        <v>588</v>
      </c>
      <c r="I240" t="s">
        <v>31</v>
      </c>
      <c r="J240" t="s">
        <v>30</v>
      </c>
      <c r="K240" t="s">
        <v>535</v>
      </c>
      <c r="L240" t="s">
        <v>31</v>
      </c>
      <c r="M240" t="s">
        <v>31</v>
      </c>
      <c r="N240" t="s">
        <v>31</v>
      </c>
      <c r="O240" t="s">
        <v>31</v>
      </c>
      <c r="P240" t="s">
        <v>31</v>
      </c>
      <c r="Q240" t="s">
        <v>31</v>
      </c>
      <c r="R240" t="s">
        <v>31</v>
      </c>
      <c r="S240" t="s">
        <v>31</v>
      </c>
      <c r="T240">
        <v>48</v>
      </c>
      <c r="U240">
        <v>61</v>
      </c>
      <c r="V240" t="s">
        <v>31</v>
      </c>
      <c r="W240" t="s">
        <v>31</v>
      </c>
      <c r="X240" t="s">
        <v>31</v>
      </c>
      <c r="Y240" t="s">
        <v>31</v>
      </c>
      <c r="Z240" t="s">
        <v>31</v>
      </c>
      <c r="AA240">
        <v>0</v>
      </c>
    </row>
    <row r="241" spans="1:27" x14ac:dyDescent="0.25">
      <c r="A241">
        <v>241</v>
      </c>
      <c r="B241" t="s">
        <v>27</v>
      </c>
      <c r="C241">
        <v>729</v>
      </c>
      <c r="D241" t="s">
        <v>53</v>
      </c>
      <c r="E241">
        <v>5118230080010100</v>
      </c>
      <c r="F241">
        <v>5118230080010100</v>
      </c>
      <c r="G241" t="s">
        <v>589</v>
      </c>
      <c r="H241" t="s">
        <v>590</v>
      </c>
      <c r="I241" t="s">
        <v>31</v>
      </c>
      <c r="J241" t="s">
        <v>30</v>
      </c>
      <c r="K241" t="s">
        <v>582</v>
      </c>
      <c r="L241" t="s">
        <v>31</v>
      </c>
      <c r="M241" t="s">
        <v>31</v>
      </c>
      <c r="N241" t="s">
        <v>31</v>
      </c>
      <c r="O241" t="s">
        <v>31</v>
      </c>
      <c r="P241" t="s">
        <v>31</v>
      </c>
      <c r="Q241" t="s">
        <v>31</v>
      </c>
      <c r="R241" t="s">
        <v>31</v>
      </c>
      <c r="S241" t="s">
        <v>31</v>
      </c>
      <c r="T241">
        <v>38</v>
      </c>
      <c r="U241">
        <v>61</v>
      </c>
      <c r="V241" t="s">
        <v>31</v>
      </c>
      <c r="W241" t="s">
        <v>31</v>
      </c>
      <c r="X241" t="s">
        <v>31</v>
      </c>
      <c r="Y241" t="s">
        <v>31</v>
      </c>
      <c r="Z241" t="s">
        <v>31</v>
      </c>
      <c r="AA241">
        <v>0</v>
      </c>
    </row>
    <row r="242" spans="1:27" x14ac:dyDescent="0.25">
      <c r="A242">
        <v>242</v>
      </c>
      <c r="B242" t="s">
        <v>27</v>
      </c>
      <c r="C242">
        <v>447</v>
      </c>
      <c r="D242" t="s">
        <v>28</v>
      </c>
      <c r="E242">
        <v>5118230000006000</v>
      </c>
      <c r="F242">
        <v>5118230000006000</v>
      </c>
      <c r="G242" t="s">
        <v>591</v>
      </c>
      <c r="H242">
        <v>6</v>
      </c>
      <c r="I242">
        <v>6253070006</v>
      </c>
      <c r="J242" t="s">
        <v>30</v>
      </c>
      <c r="K242" t="s">
        <v>592</v>
      </c>
      <c r="L242" t="s">
        <v>31</v>
      </c>
      <c r="M242" t="s">
        <v>31</v>
      </c>
      <c r="N242">
        <v>0</v>
      </c>
      <c r="O242" t="s">
        <v>59</v>
      </c>
      <c r="P242" t="s">
        <v>593</v>
      </c>
      <c r="Q242" t="s">
        <v>47</v>
      </c>
      <c r="R242" t="s">
        <v>36</v>
      </c>
      <c r="S242" t="s">
        <v>73</v>
      </c>
      <c r="T242">
        <v>170</v>
      </c>
      <c r="U242">
        <v>400</v>
      </c>
      <c r="V242" t="s">
        <v>37</v>
      </c>
      <c r="W242" t="s">
        <v>38</v>
      </c>
      <c r="X242" t="s">
        <v>421</v>
      </c>
      <c r="Y242">
        <v>1</v>
      </c>
      <c r="Z242" t="s">
        <v>40</v>
      </c>
      <c r="AA242">
        <v>6</v>
      </c>
    </row>
    <row r="243" spans="1:27" x14ac:dyDescent="0.25">
      <c r="A243">
        <v>243</v>
      </c>
      <c r="B243" t="s">
        <v>27</v>
      </c>
      <c r="C243">
        <v>501</v>
      </c>
      <c r="D243" t="s">
        <v>53</v>
      </c>
      <c r="E243">
        <v>5118230000060000</v>
      </c>
      <c r="F243">
        <v>5118230000060000</v>
      </c>
      <c r="G243" t="s">
        <v>589</v>
      </c>
      <c r="H243">
        <v>60</v>
      </c>
      <c r="I243">
        <v>6253010060</v>
      </c>
      <c r="J243" t="s">
        <v>30</v>
      </c>
      <c r="K243" t="s">
        <v>594</v>
      </c>
      <c r="L243" t="s">
        <v>31</v>
      </c>
      <c r="M243" t="s">
        <v>31</v>
      </c>
      <c r="N243">
        <v>0</v>
      </c>
      <c r="O243" t="s">
        <v>531</v>
      </c>
      <c r="P243" t="s">
        <v>549</v>
      </c>
      <c r="Q243" t="s">
        <v>47</v>
      </c>
      <c r="R243" t="s">
        <v>61</v>
      </c>
      <c r="S243" t="s">
        <v>61</v>
      </c>
      <c r="T243">
        <v>38</v>
      </c>
      <c r="U243">
        <v>90</v>
      </c>
      <c r="V243" t="s">
        <v>31</v>
      </c>
      <c r="W243" t="s">
        <v>52</v>
      </c>
      <c r="X243" t="s">
        <v>39</v>
      </c>
      <c r="Y243">
        <v>0</v>
      </c>
      <c r="Z243" t="s">
        <v>40</v>
      </c>
      <c r="AA243">
        <v>0</v>
      </c>
    </row>
    <row r="244" spans="1:27" x14ac:dyDescent="0.25">
      <c r="A244">
        <v>244</v>
      </c>
      <c r="B244" t="s">
        <v>27</v>
      </c>
      <c r="C244">
        <v>506</v>
      </c>
      <c r="D244" t="s">
        <v>28</v>
      </c>
      <c r="E244">
        <v>5118230000065000</v>
      </c>
      <c r="F244">
        <v>5118230000065000</v>
      </c>
      <c r="G244" t="s">
        <v>595</v>
      </c>
      <c r="H244">
        <v>65</v>
      </c>
      <c r="I244">
        <v>6253060065</v>
      </c>
      <c r="J244" t="s">
        <v>30</v>
      </c>
      <c r="K244" t="s">
        <v>596</v>
      </c>
      <c r="L244" t="s">
        <v>31</v>
      </c>
      <c r="M244" t="s">
        <v>31</v>
      </c>
      <c r="N244">
        <v>0</v>
      </c>
      <c r="O244" t="s">
        <v>31</v>
      </c>
      <c r="P244" t="s">
        <v>532</v>
      </c>
      <c r="Q244" t="s">
        <v>35</v>
      </c>
      <c r="R244" t="s">
        <v>73</v>
      </c>
      <c r="S244" t="s">
        <v>73</v>
      </c>
      <c r="T244">
        <v>140</v>
      </c>
      <c r="U244">
        <v>175</v>
      </c>
      <c r="V244" t="s">
        <v>37</v>
      </c>
      <c r="W244" t="s">
        <v>38</v>
      </c>
      <c r="X244" t="s">
        <v>39</v>
      </c>
      <c r="Y244">
        <v>0</v>
      </c>
      <c r="Z244" t="s">
        <v>40</v>
      </c>
      <c r="AA244">
        <v>0</v>
      </c>
    </row>
    <row r="245" spans="1:27" x14ac:dyDescent="0.25">
      <c r="A245">
        <v>245</v>
      </c>
      <c r="B245" t="s">
        <v>27</v>
      </c>
      <c r="C245">
        <v>703</v>
      </c>
      <c r="D245" t="s">
        <v>28</v>
      </c>
      <c r="E245">
        <v>5118230020000100</v>
      </c>
      <c r="F245">
        <v>5118230020000100</v>
      </c>
      <c r="G245" t="s">
        <v>597</v>
      </c>
      <c r="H245" t="s">
        <v>598</v>
      </c>
      <c r="I245" t="s">
        <v>31</v>
      </c>
      <c r="J245" t="s">
        <v>30</v>
      </c>
      <c r="K245" t="s">
        <v>599</v>
      </c>
      <c r="L245" t="s">
        <v>31</v>
      </c>
      <c r="M245" t="s">
        <v>31</v>
      </c>
      <c r="N245" t="s">
        <v>31</v>
      </c>
      <c r="O245" t="s">
        <v>31</v>
      </c>
      <c r="P245" t="s">
        <v>31</v>
      </c>
      <c r="Q245" t="s">
        <v>31</v>
      </c>
      <c r="R245" t="s">
        <v>31</v>
      </c>
      <c r="S245" t="s">
        <v>31</v>
      </c>
      <c r="T245">
        <v>146</v>
      </c>
      <c r="U245">
        <v>181</v>
      </c>
      <c r="V245" t="s">
        <v>31</v>
      </c>
      <c r="W245" t="s">
        <v>31</v>
      </c>
      <c r="X245" t="s">
        <v>31</v>
      </c>
      <c r="Y245" t="s">
        <v>31</v>
      </c>
      <c r="Z245" t="s">
        <v>31</v>
      </c>
      <c r="AA245">
        <v>0</v>
      </c>
    </row>
    <row r="246" spans="1:27" x14ac:dyDescent="0.25">
      <c r="A246">
        <v>246</v>
      </c>
      <c r="B246" t="s">
        <v>27</v>
      </c>
      <c r="C246">
        <v>476</v>
      </c>
      <c r="D246" t="s">
        <v>53</v>
      </c>
      <c r="E246">
        <v>5118230000035000</v>
      </c>
      <c r="F246">
        <v>5118230000035000</v>
      </c>
      <c r="G246" t="s">
        <v>600</v>
      </c>
      <c r="H246">
        <v>35</v>
      </c>
      <c r="I246">
        <v>6253050035</v>
      </c>
      <c r="J246" t="s">
        <v>30</v>
      </c>
      <c r="K246" t="s">
        <v>601</v>
      </c>
      <c r="L246" t="s">
        <v>31</v>
      </c>
      <c r="M246" t="s">
        <v>31</v>
      </c>
      <c r="N246">
        <v>0</v>
      </c>
      <c r="O246" t="s">
        <v>135</v>
      </c>
      <c r="P246" t="s">
        <v>602</v>
      </c>
      <c r="Q246" t="s">
        <v>47</v>
      </c>
      <c r="R246" t="s">
        <v>31</v>
      </c>
      <c r="S246" t="s">
        <v>61</v>
      </c>
      <c r="T246">
        <v>4</v>
      </c>
      <c r="U246">
        <v>10</v>
      </c>
      <c r="V246" t="s">
        <v>31</v>
      </c>
      <c r="W246" t="s">
        <v>37</v>
      </c>
      <c r="X246" t="s">
        <v>39</v>
      </c>
      <c r="Y246">
        <v>0</v>
      </c>
      <c r="Z246" t="s">
        <v>40</v>
      </c>
      <c r="AA246">
        <v>0</v>
      </c>
    </row>
    <row r="247" spans="1:27" x14ac:dyDescent="0.25">
      <c r="A247">
        <v>247</v>
      </c>
      <c r="B247" t="s">
        <v>27</v>
      </c>
      <c r="C247">
        <v>763</v>
      </c>
      <c r="D247" t="s">
        <v>28</v>
      </c>
      <c r="E247">
        <v>5118230110030100</v>
      </c>
      <c r="F247">
        <v>5118230110030100</v>
      </c>
      <c r="G247" t="s">
        <v>603</v>
      </c>
      <c r="H247" t="s">
        <v>604</v>
      </c>
      <c r="I247" t="s">
        <v>31</v>
      </c>
      <c r="J247" t="s">
        <v>30</v>
      </c>
      <c r="K247" t="s">
        <v>605</v>
      </c>
      <c r="L247" t="s">
        <v>31</v>
      </c>
      <c r="M247" t="s">
        <v>31</v>
      </c>
      <c r="N247" t="s">
        <v>31</v>
      </c>
      <c r="O247" t="s">
        <v>31</v>
      </c>
      <c r="P247" t="s">
        <v>31</v>
      </c>
      <c r="Q247" t="s">
        <v>31</v>
      </c>
      <c r="R247" t="s">
        <v>31</v>
      </c>
      <c r="S247" t="s">
        <v>31</v>
      </c>
      <c r="T247">
        <v>4</v>
      </c>
      <c r="U247">
        <v>5</v>
      </c>
      <c r="V247" t="s">
        <v>31</v>
      </c>
      <c r="W247" t="s">
        <v>31</v>
      </c>
      <c r="X247" t="s">
        <v>31</v>
      </c>
      <c r="Y247" t="s">
        <v>31</v>
      </c>
      <c r="Z247" t="s">
        <v>31</v>
      </c>
      <c r="AA247">
        <v>0</v>
      </c>
    </row>
    <row r="248" spans="1:27" x14ac:dyDescent="0.25">
      <c r="A248">
        <v>248</v>
      </c>
      <c r="B248" t="s">
        <v>27</v>
      </c>
      <c r="C248">
        <v>483</v>
      </c>
      <c r="D248" t="s">
        <v>53</v>
      </c>
      <c r="E248">
        <v>5118230000042000</v>
      </c>
      <c r="F248">
        <v>5118230000042000</v>
      </c>
      <c r="G248" t="s">
        <v>606</v>
      </c>
      <c r="H248">
        <v>42</v>
      </c>
      <c r="I248">
        <v>6253020042</v>
      </c>
      <c r="J248" t="s">
        <v>30</v>
      </c>
      <c r="K248" t="s">
        <v>607</v>
      </c>
      <c r="L248" t="s">
        <v>31</v>
      </c>
      <c r="M248" t="s">
        <v>31</v>
      </c>
      <c r="N248">
        <v>0</v>
      </c>
      <c r="O248" t="s">
        <v>557</v>
      </c>
      <c r="P248" t="s">
        <v>608</v>
      </c>
      <c r="Q248" t="s">
        <v>47</v>
      </c>
      <c r="R248" t="s">
        <v>61</v>
      </c>
      <c r="S248" t="s">
        <v>61</v>
      </c>
      <c r="T248">
        <v>11</v>
      </c>
      <c r="U248">
        <v>11</v>
      </c>
      <c r="V248" t="s">
        <v>52</v>
      </c>
      <c r="W248" t="s">
        <v>52</v>
      </c>
      <c r="X248" t="s">
        <v>39</v>
      </c>
      <c r="Y248">
        <v>0</v>
      </c>
      <c r="Z248" t="s">
        <v>40</v>
      </c>
      <c r="AA248">
        <v>0</v>
      </c>
    </row>
    <row r="249" spans="1:27" x14ac:dyDescent="0.25">
      <c r="A249">
        <v>249</v>
      </c>
      <c r="B249" t="s">
        <v>27</v>
      </c>
      <c r="C249">
        <v>762</v>
      </c>
      <c r="D249" t="s">
        <v>28</v>
      </c>
      <c r="E249">
        <v>5118230110020100</v>
      </c>
      <c r="F249">
        <v>5118230110020100</v>
      </c>
      <c r="G249" t="s">
        <v>609</v>
      </c>
      <c r="H249" t="s">
        <v>610</v>
      </c>
      <c r="I249" t="s">
        <v>31</v>
      </c>
      <c r="J249" t="s">
        <v>30</v>
      </c>
      <c r="K249" t="s">
        <v>611</v>
      </c>
      <c r="L249" t="s">
        <v>31</v>
      </c>
      <c r="M249" t="s">
        <v>31</v>
      </c>
      <c r="N249" t="s">
        <v>31</v>
      </c>
      <c r="O249" t="s">
        <v>31</v>
      </c>
      <c r="P249" t="s">
        <v>31</v>
      </c>
      <c r="Q249" t="s">
        <v>31</v>
      </c>
      <c r="R249" t="s">
        <v>31</v>
      </c>
      <c r="S249" t="s">
        <v>31</v>
      </c>
      <c r="T249">
        <v>39</v>
      </c>
      <c r="U249">
        <v>47</v>
      </c>
      <c r="V249" t="s">
        <v>31</v>
      </c>
      <c r="W249" t="s">
        <v>31</v>
      </c>
      <c r="X249" t="s">
        <v>31</v>
      </c>
      <c r="Y249" t="s">
        <v>31</v>
      </c>
      <c r="Z249" t="s">
        <v>31</v>
      </c>
      <c r="AA249">
        <v>0</v>
      </c>
    </row>
    <row r="250" spans="1:27" x14ac:dyDescent="0.25">
      <c r="A250">
        <v>250</v>
      </c>
      <c r="B250" t="s">
        <v>27</v>
      </c>
      <c r="C250">
        <v>723</v>
      </c>
      <c r="D250" t="s">
        <v>28</v>
      </c>
      <c r="E250">
        <v>5118230060010100</v>
      </c>
      <c r="F250">
        <v>5118230060010100</v>
      </c>
      <c r="G250" t="s">
        <v>612</v>
      </c>
      <c r="H250" t="s">
        <v>613</v>
      </c>
      <c r="I250" t="s">
        <v>31</v>
      </c>
      <c r="J250" t="s">
        <v>30</v>
      </c>
      <c r="K250" t="s">
        <v>614</v>
      </c>
      <c r="L250" t="s">
        <v>31</v>
      </c>
      <c r="M250" t="s">
        <v>31</v>
      </c>
      <c r="N250" t="s">
        <v>31</v>
      </c>
      <c r="O250" t="s">
        <v>31</v>
      </c>
      <c r="P250" t="s">
        <v>31</v>
      </c>
      <c r="Q250" t="s">
        <v>31</v>
      </c>
      <c r="R250" t="s">
        <v>31</v>
      </c>
      <c r="S250" t="s">
        <v>31</v>
      </c>
      <c r="T250">
        <v>140</v>
      </c>
      <c r="U250">
        <v>169</v>
      </c>
      <c r="V250" t="s">
        <v>31</v>
      </c>
      <c r="W250" t="s">
        <v>31</v>
      </c>
      <c r="X250" t="s">
        <v>31</v>
      </c>
      <c r="Y250" t="s">
        <v>31</v>
      </c>
      <c r="Z250" t="s">
        <v>31</v>
      </c>
      <c r="AA250">
        <v>0</v>
      </c>
    </row>
    <row r="251" spans="1:27" x14ac:dyDescent="0.25">
      <c r="A251">
        <v>251</v>
      </c>
      <c r="B251" t="s">
        <v>27</v>
      </c>
      <c r="C251">
        <v>472</v>
      </c>
      <c r="D251" t="s">
        <v>53</v>
      </c>
      <c r="E251">
        <v>5118230000031000</v>
      </c>
      <c r="F251">
        <v>5118230000031000</v>
      </c>
      <c r="G251" t="s">
        <v>615</v>
      </c>
      <c r="H251">
        <v>31</v>
      </c>
      <c r="I251">
        <v>6253050031</v>
      </c>
      <c r="J251" t="s">
        <v>30</v>
      </c>
      <c r="K251" t="s">
        <v>616</v>
      </c>
      <c r="L251" t="s">
        <v>31</v>
      </c>
      <c r="M251" t="s">
        <v>31</v>
      </c>
      <c r="N251">
        <v>0</v>
      </c>
      <c r="O251" t="s">
        <v>59</v>
      </c>
      <c r="P251" t="s">
        <v>602</v>
      </c>
      <c r="Q251" t="s">
        <v>47</v>
      </c>
      <c r="R251" t="s">
        <v>61</v>
      </c>
      <c r="S251" t="s">
        <v>61</v>
      </c>
      <c r="T251">
        <v>13</v>
      </c>
      <c r="U251">
        <v>40</v>
      </c>
      <c r="V251" t="s">
        <v>31</v>
      </c>
      <c r="W251" t="s">
        <v>52</v>
      </c>
      <c r="X251" t="s">
        <v>39</v>
      </c>
      <c r="Y251">
        <v>0</v>
      </c>
      <c r="Z251" t="s">
        <v>40</v>
      </c>
      <c r="AA251">
        <v>2</v>
      </c>
    </row>
    <row r="252" spans="1:27" x14ac:dyDescent="0.25">
      <c r="A252">
        <v>252</v>
      </c>
      <c r="B252" t="s">
        <v>27</v>
      </c>
      <c r="C252">
        <v>713</v>
      </c>
      <c r="D252" t="s">
        <v>53</v>
      </c>
      <c r="E252">
        <v>5118230050000100</v>
      </c>
      <c r="F252">
        <v>5118230050000100</v>
      </c>
      <c r="G252" t="s">
        <v>617</v>
      </c>
      <c r="H252" t="s">
        <v>618</v>
      </c>
      <c r="I252" t="s">
        <v>31</v>
      </c>
      <c r="J252" t="s">
        <v>30</v>
      </c>
      <c r="K252" t="s">
        <v>619</v>
      </c>
      <c r="L252" t="s">
        <v>31</v>
      </c>
      <c r="M252" t="s">
        <v>31</v>
      </c>
      <c r="N252" t="s">
        <v>31</v>
      </c>
      <c r="O252" t="s">
        <v>31</v>
      </c>
      <c r="P252" t="s">
        <v>31</v>
      </c>
      <c r="Q252" t="s">
        <v>31</v>
      </c>
      <c r="R252" t="s">
        <v>31</v>
      </c>
      <c r="S252" t="s">
        <v>31</v>
      </c>
      <c r="T252">
        <v>0</v>
      </c>
      <c r="U252">
        <v>12</v>
      </c>
      <c r="V252" t="s">
        <v>31</v>
      </c>
      <c r="W252" t="s">
        <v>31</v>
      </c>
      <c r="X252" t="s">
        <v>31</v>
      </c>
      <c r="Y252" t="s">
        <v>31</v>
      </c>
      <c r="Z252" t="s">
        <v>31</v>
      </c>
      <c r="AA252">
        <v>0</v>
      </c>
    </row>
    <row r="253" spans="1:27" x14ac:dyDescent="0.25">
      <c r="A253">
        <v>253</v>
      </c>
      <c r="B253" t="s">
        <v>27</v>
      </c>
      <c r="C253">
        <v>758</v>
      </c>
      <c r="D253" t="s">
        <v>41</v>
      </c>
      <c r="E253">
        <v>5118230110000100</v>
      </c>
      <c r="F253">
        <v>5118230110000100</v>
      </c>
      <c r="G253" t="s">
        <v>620</v>
      </c>
      <c r="H253" t="s">
        <v>621</v>
      </c>
      <c r="I253" t="s">
        <v>31</v>
      </c>
      <c r="J253" t="s">
        <v>30</v>
      </c>
      <c r="K253" t="s">
        <v>611</v>
      </c>
      <c r="L253" t="s">
        <v>31</v>
      </c>
      <c r="M253" t="s">
        <v>31</v>
      </c>
      <c r="N253" t="s">
        <v>31</v>
      </c>
      <c r="O253" t="s">
        <v>31</v>
      </c>
      <c r="P253" t="s">
        <v>31</v>
      </c>
      <c r="Q253" t="s">
        <v>31</v>
      </c>
      <c r="R253" t="s">
        <v>31</v>
      </c>
      <c r="S253" t="s">
        <v>31</v>
      </c>
      <c r="T253">
        <v>69</v>
      </c>
      <c r="U253">
        <v>100</v>
      </c>
      <c r="V253" t="s">
        <v>31</v>
      </c>
      <c r="W253" t="s">
        <v>31</v>
      </c>
      <c r="X253" t="s">
        <v>31</v>
      </c>
      <c r="Y253" t="s">
        <v>31</v>
      </c>
      <c r="Z253" t="s">
        <v>31</v>
      </c>
      <c r="AA253">
        <v>0</v>
      </c>
    </row>
    <row r="254" spans="1:27" x14ac:dyDescent="0.25">
      <c r="A254">
        <v>254</v>
      </c>
      <c r="B254" t="s">
        <v>27</v>
      </c>
      <c r="C254">
        <v>484</v>
      </c>
      <c r="D254" t="s">
        <v>41</v>
      </c>
      <c r="E254">
        <v>5118230000043000</v>
      </c>
      <c r="F254">
        <v>5118230000043000</v>
      </c>
      <c r="G254" t="s">
        <v>622</v>
      </c>
      <c r="H254">
        <v>43</v>
      </c>
      <c r="I254">
        <v>6253020043</v>
      </c>
      <c r="J254" t="s">
        <v>30</v>
      </c>
      <c r="K254" t="s">
        <v>623</v>
      </c>
      <c r="L254" t="s">
        <v>31</v>
      </c>
      <c r="M254" t="s">
        <v>31</v>
      </c>
      <c r="N254">
        <v>0</v>
      </c>
      <c r="O254" t="s">
        <v>31</v>
      </c>
      <c r="P254" t="s">
        <v>31</v>
      </c>
      <c r="Q254" t="s">
        <v>31</v>
      </c>
      <c r="R254" t="s">
        <v>31</v>
      </c>
      <c r="S254" t="s">
        <v>31</v>
      </c>
      <c r="T254">
        <v>0</v>
      </c>
      <c r="U254">
        <v>1</v>
      </c>
      <c r="V254" t="s">
        <v>31</v>
      </c>
      <c r="W254" t="s">
        <v>37</v>
      </c>
      <c r="X254" t="s">
        <v>31</v>
      </c>
      <c r="Y254">
        <v>0</v>
      </c>
      <c r="Z254" t="s">
        <v>49</v>
      </c>
      <c r="AA254">
        <v>0</v>
      </c>
    </row>
    <row r="255" spans="1:27" x14ac:dyDescent="0.25">
      <c r="A255">
        <v>255</v>
      </c>
      <c r="B255" t="s">
        <v>27</v>
      </c>
      <c r="C255">
        <v>445</v>
      </c>
      <c r="D255" t="s">
        <v>53</v>
      </c>
      <c r="E255">
        <v>5118230000004000</v>
      </c>
      <c r="F255">
        <v>5118230000004000</v>
      </c>
      <c r="G255" t="s">
        <v>425</v>
      </c>
      <c r="H255">
        <v>4</v>
      </c>
      <c r="I255">
        <v>6253000004</v>
      </c>
      <c r="J255" t="s">
        <v>30</v>
      </c>
      <c r="K255" t="s">
        <v>624</v>
      </c>
      <c r="L255" t="s">
        <v>31</v>
      </c>
      <c r="M255" t="s">
        <v>31</v>
      </c>
      <c r="N255">
        <v>0</v>
      </c>
      <c r="O255" t="s">
        <v>31</v>
      </c>
      <c r="P255" t="s">
        <v>625</v>
      </c>
      <c r="Q255" t="s">
        <v>98</v>
      </c>
      <c r="R255" t="s">
        <v>61</v>
      </c>
      <c r="S255" t="s">
        <v>61</v>
      </c>
      <c r="T255">
        <v>73</v>
      </c>
      <c r="U255">
        <v>350</v>
      </c>
      <c r="V255" t="s">
        <v>38</v>
      </c>
      <c r="W255" t="s">
        <v>52</v>
      </c>
      <c r="X255" t="s">
        <v>39</v>
      </c>
      <c r="Y255">
        <v>0</v>
      </c>
      <c r="Z255" t="s">
        <v>166</v>
      </c>
      <c r="AA255">
        <v>0</v>
      </c>
    </row>
    <row r="256" spans="1:27" x14ac:dyDescent="0.25">
      <c r="A256">
        <v>256</v>
      </c>
      <c r="B256" t="s">
        <v>27</v>
      </c>
      <c r="C256">
        <v>490</v>
      </c>
      <c r="D256" t="s">
        <v>53</v>
      </c>
      <c r="E256">
        <v>5118230000049000</v>
      </c>
      <c r="F256">
        <v>5118230000049000</v>
      </c>
      <c r="G256" t="s">
        <v>626</v>
      </c>
      <c r="H256">
        <v>49</v>
      </c>
      <c r="I256">
        <v>6253020049</v>
      </c>
      <c r="J256" t="s">
        <v>30</v>
      </c>
      <c r="K256" t="s">
        <v>627</v>
      </c>
      <c r="L256" t="s">
        <v>31</v>
      </c>
      <c r="M256" t="s">
        <v>31</v>
      </c>
      <c r="N256">
        <v>0</v>
      </c>
      <c r="O256" t="s">
        <v>59</v>
      </c>
      <c r="P256" t="s">
        <v>94</v>
      </c>
      <c r="Q256" t="s">
        <v>417</v>
      </c>
      <c r="R256" t="s">
        <v>61</v>
      </c>
      <c r="S256" t="s">
        <v>61</v>
      </c>
      <c r="T256">
        <v>19</v>
      </c>
      <c r="U256">
        <v>170</v>
      </c>
      <c r="V256" t="s">
        <v>31</v>
      </c>
      <c r="W256" t="s">
        <v>52</v>
      </c>
      <c r="X256" t="s">
        <v>39</v>
      </c>
      <c r="Y256">
        <v>0</v>
      </c>
      <c r="Z256" t="s">
        <v>496</v>
      </c>
      <c r="AA256">
        <v>0</v>
      </c>
    </row>
    <row r="257" spans="1:27" x14ac:dyDescent="0.25">
      <c r="A257">
        <v>257</v>
      </c>
      <c r="B257" t="s">
        <v>27</v>
      </c>
      <c r="C257">
        <v>473</v>
      </c>
      <c r="D257" t="s">
        <v>41</v>
      </c>
      <c r="E257">
        <v>5118230000032000</v>
      </c>
      <c r="F257">
        <v>5118230000032000</v>
      </c>
      <c r="G257" t="s">
        <v>620</v>
      </c>
      <c r="H257">
        <v>32</v>
      </c>
      <c r="I257">
        <v>6253050032</v>
      </c>
      <c r="J257" t="s">
        <v>30</v>
      </c>
      <c r="K257" t="s">
        <v>628</v>
      </c>
      <c r="L257" t="s">
        <v>31</v>
      </c>
      <c r="M257" t="s">
        <v>31</v>
      </c>
      <c r="N257">
        <v>0</v>
      </c>
      <c r="O257" t="s">
        <v>31</v>
      </c>
      <c r="P257" t="s">
        <v>31</v>
      </c>
      <c r="Q257" t="s">
        <v>31</v>
      </c>
      <c r="R257" t="s">
        <v>31</v>
      </c>
      <c r="S257" t="s">
        <v>31</v>
      </c>
      <c r="T257">
        <v>2</v>
      </c>
      <c r="U257">
        <v>20</v>
      </c>
      <c r="V257" t="s">
        <v>31</v>
      </c>
      <c r="W257" t="s">
        <v>37</v>
      </c>
      <c r="X257" t="s">
        <v>39</v>
      </c>
      <c r="Y257">
        <v>0</v>
      </c>
      <c r="Z257" t="s">
        <v>49</v>
      </c>
      <c r="AA257">
        <v>0</v>
      </c>
    </row>
    <row r="258" spans="1:27" x14ac:dyDescent="0.25">
      <c r="A258">
        <v>258</v>
      </c>
      <c r="B258" t="s">
        <v>27</v>
      </c>
      <c r="C258">
        <v>695</v>
      </c>
      <c r="D258" t="s">
        <v>53</v>
      </c>
      <c r="E258">
        <v>5118230000256000</v>
      </c>
      <c r="F258">
        <v>5118230000256000</v>
      </c>
      <c r="G258" t="s">
        <v>629</v>
      </c>
      <c r="H258">
        <v>256</v>
      </c>
      <c r="I258">
        <v>6253210091</v>
      </c>
      <c r="J258" t="s">
        <v>30</v>
      </c>
      <c r="K258" t="s">
        <v>630</v>
      </c>
      <c r="L258" t="s">
        <v>31</v>
      </c>
      <c r="M258" t="s">
        <v>31</v>
      </c>
      <c r="N258">
        <v>0</v>
      </c>
      <c r="O258" t="s">
        <v>31</v>
      </c>
      <c r="P258" t="s">
        <v>631</v>
      </c>
      <c r="Q258" t="s">
        <v>47</v>
      </c>
      <c r="R258" t="s">
        <v>61</v>
      </c>
      <c r="S258" t="s">
        <v>61</v>
      </c>
      <c r="T258">
        <v>7</v>
      </c>
      <c r="U258">
        <v>50</v>
      </c>
      <c r="V258" t="s">
        <v>31</v>
      </c>
      <c r="W258" t="s">
        <v>37</v>
      </c>
      <c r="X258" t="s">
        <v>115</v>
      </c>
      <c r="Y258">
        <v>0</v>
      </c>
      <c r="Z258" t="s">
        <v>40</v>
      </c>
      <c r="AA258">
        <v>0</v>
      </c>
    </row>
    <row r="259" spans="1:27" x14ac:dyDescent="0.25">
      <c r="A259">
        <v>259</v>
      </c>
      <c r="B259" t="s">
        <v>27</v>
      </c>
      <c r="C259">
        <v>532</v>
      </c>
      <c r="D259" t="s">
        <v>53</v>
      </c>
      <c r="E259">
        <v>5118230000091000</v>
      </c>
      <c r="F259">
        <v>5118230000091000</v>
      </c>
      <c r="G259" t="s">
        <v>632</v>
      </c>
      <c r="H259">
        <v>91</v>
      </c>
      <c r="I259">
        <v>6253210256</v>
      </c>
      <c r="J259" t="s">
        <v>30</v>
      </c>
      <c r="K259" t="s">
        <v>630</v>
      </c>
      <c r="L259" t="s">
        <v>31</v>
      </c>
      <c r="M259" t="s">
        <v>31</v>
      </c>
      <c r="N259">
        <v>0</v>
      </c>
      <c r="O259" t="s">
        <v>557</v>
      </c>
      <c r="P259" t="s">
        <v>633</v>
      </c>
      <c r="Q259" t="s">
        <v>47</v>
      </c>
      <c r="R259" t="s">
        <v>61</v>
      </c>
      <c r="S259" t="s">
        <v>61</v>
      </c>
      <c r="T259">
        <v>56</v>
      </c>
      <c r="U259">
        <v>110</v>
      </c>
      <c r="V259" t="s">
        <v>31</v>
      </c>
      <c r="W259" t="s">
        <v>52</v>
      </c>
      <c r="X259" t="s">
        <v>115</v>
      </c>
      <c r="Y259">
        <v>0</v>
      </c>
      <c r="Z259" t="s">
        <v>40</v>
      </c>
      <c r="AA259">
        <v>0</v>
      </c>
    </row>
    <row r="260" spans="1:27" x14ac:dyDescent="0.25">
      <c r="A260">
        <v>260</v>
      </c>
      <c r="B260" t="s">
        <v>27</v>
      </c>
      <c r="C260">
        <v>471</v>
      </c>
      <c r="D260" t="s">
        <v>28</v>
      </c>
      <c r="E260">
        <v>5118230000030000</v>
      </c>
      <c r="F260">
        <v>5118230000030000</v>
      </c>
      <c r="G260" t="s">
        <v>634</v>
      </c>
      <c r="H260">
        <v>30</v>
      </c>
      <c r="I260">
        <v>6253210030</v>
      </c>
      <c r="J260" t="s">
        <v>30</v>
      </c>
      <c r="K260" t="s">
        <v>635</v>
      </c>
      <c r="L260" t="s">
        <v>31</v>
      </c>
      <c r="M260" t="s">
        <v>31</v>
      </c>
      <c r="N260">
        <v>0</v>
      </c>
      <c r="O260" t="s">
        <v>31</v>
      </c>
      <c r="P260" t="s">
        <v>631</v>
      </c>
      <c r="Q260" t="s">
        <v>47</v>
      </c>
      <c r="R260" t="s">
        <v>73</v>
      </c>
      <c r="S260" t="s">
        <v>73</v>
      </c>
      <c r="T260">
        <v>60</v>
      </c>
      <c r="U260">
        <v>100</v>
      </c>
      <c r="V260" t="s">
        <v>37</v>
      </c>
      <c r="W260" t="s">
        <v>52</v>
      </c>
      <c r="X260" t="s">
        <v>39</v>
      </c>
      <c r="Y260">
        <v>0</v>
      </c>
      <c r="Z260" t="s">
        <v>40</v>
      </c>
      <c r="AA260">
        <v>0</v>
      </c>
    </row>
    <row r="261" spans="1:27" x14ac:dyDescent="0.25">
      <c r="A261">
        <v>261</v>
      </c>
      <c r="B261" t="s">
        <v>27</v>
      </c>
      <c r="C261">
        <v>782</v>
      </c>
      <c r="D261" t="s">
        <v>28</v>
      </c>
      <c r="E261">
        <v>5118230170010100</v>
      </c>
      <c r="F261">
        <v>5118230170010100</v>
      </c>
      <c r="G261" t="s">
        <v>636</v>
      </c>
      <c r="H261" t="s">
        <v>637</v>
      </c>
      <c r="I261" t="s">
        <v>31</v>
      </c>
      <c r="J261" t="s">
        <v>30</v>
      </c>
      <c r="K261" t="s">
        <v>638</v>
      </c>
      <c r="L261" t="s">
        <v>31</v>
      </c>
      <c r="M261" t="s">
        <v>31</v>
      </c>
      <c r="N261" t="s">
        <v>31</v>
      </c>
      <c r="O261" t="s">
        <v>31</v>
      </c>
      <c r="P261" t="s">
        <v>31</v>
      </c>
      <c r="Q261" t="s">
        <v>31</v>
      </c>
      <c r="R261" t="s">
        <v>31</v>
      </c>
      <c r="S261" t="s">
        <v>31</v>
      </c>
      <c r="T261">
        <v>50</v>
      </c>
      <c r="U261">
        <v>60</v>
      </c>
      <c r="V261" t="s">
        <v>31</v>
      </c>
      <c r="W261" t="s">
        <v>31</v>
      </c>
      <c r="X261" t="s">
        <v>31</v>
      </c>
      <c r="Y261" t="s">
        <v>31</v>
      </c>
      <c r="Z261" t="s">
        <v>31</v>
      </c>
      <c r="AA261">
        <v>0</v>
      </c>
    </row>
    <row r="262" spans="1:27" x14ac:dyDescent="0.25">
      <c r="A262">
        <v>262</v>
      </c>
      <c r="B262" t="s">
        <v>27</v>
      </c>
      <c r="C262">
        <v>507</v>
      </c>
      <c r="D262" t="s">
        <v>53</v>
      </c>
      <c r="E262">
        <v>5118230000066000</v>
      </c>
      <c r="F262">
        <v>5118230000066000</v>
      </c>
      <c r="G262" t="s">
        <v>639</v>
      </c>
      <c r="H262">
        <v>66</v>
      </c>
      <c r="I262">
        <v>6253210066</v>
      </c>
      <c r="J262" t="s">
        <v>30</v>
      </c>
      <c r="K262" t="s">
        <v>640</v>
      </c>
      <c r="L262" t="s">
        <v>31</v>
      </c>
      <c r="M262" t="s">
        <v>31</v>
      </c>
      <c r="N262">
        <v>0</v>
      </c>
      <c r="O262" t="s">
        <v>557</v>
      </c>
      <c r="P262" t="s">
        <v>633</v>
      </c>
      <c r="Q262" t="s">
        <v>47</v>
      </c>
      <c r="R262" t="s">
        <v>31</v>
      </c>
      <c r="S262" t="s">
        <v>61</v>
      </c>
      <c r="T262">
        <v>150</v>
      </c>
      <c r="U262">
        <v>200</v>
      </c>
      <c r="V262" t="s">
        <v>31</v>
      </c>
      <c r="W262" t="s">
        <v>38</v>
      </c>
      <c r="X262" t="s">
        <v>99</v>
      </c>
      <c r="Y262">
        <v>0</v>
      </c>
      <c r="Z262" t="s">
        <v>40</v>
      </c>
      <c r="AA262">
        <v>1</v>
      </c>
    </row>
    <row r="263" spans="1:27" x14ac:dyDescent="0.25">
      <c r="A263">
        <v>263</v>
      </c>
      <c r="B263" t="s">
        <v>27</v>
      </c>
      <c r="C263">
        <v>781</v>
      </c>
      <c r="D263" t="s">
        <v>53</v>
      </c>
      <c r="E263">
        <v>5118230170010100</v>
      </c>
      <c r="F263">
        <v>5118230170010100</v>
      </c>
      <c r="G263" t="s">
        <v>641</v>
      </c>
      <c r="H263" t="s">
        <v>642</v>
      </c>
      <c r="I263" t="s">
        <v>31</v>
      </c>
      <c r="J263" t="s">
        <v>30</v>
      </c>
      <c r="K263" t="s">
        <v>638</v>
      </c>
      <c r="L263" t="s">
        <v>31</v>
      </c>
      <c r="M263" t="s">
        <v>31</v>
      </c>
      <c r="N263" t="s">
        <v>31</v>
      </c>
      <c r="O263" t="s">
        <v>31</v>
      </c>
      <c r="P263" t="s">
        <v>31</v>
      </c>
      <c r="Q263" t="s">
        <v>31</v>
      </c>
      <c r="R263" t="s">
        <v>31</v>
      </c>
      <c r="S263" t="s">
        <v>31</v>
      </c>
      <c r="T263">
        <v>70</v>
      </c>
      <c r="U263">
        <v>85</v>
      </c>
      <c r="V263" t="s">
        <v>31</v>
      </c>
      <c r="W263" t="s">
        <v>31</v>
      </c>
      <c r="X263" t="s">
        <v>31</v>
      </c>
      <c r="Y263" t="s">
        <v>31</v>
      </c>
      <c r="Z263" t="s">
        <v>31</v>
      </c>
      <c r="AA263">
        <v>0</v>
      </c>
    </row>
    <row r="264" spans="1:27" x14ac:dyDescent="0.25">
      <c r="A264">
        <v>264</v>
      </c>
      <c r="B264" t="s">
        <v>27</v>
      </c>
      <c r="C264">
        <v>779</v>
      </c>
      <c r="D264" t="s">
        <v>53</v>
      </c>
      <c r="E264">
        <v>5118230170000100</v>
      </c>
      <c r="F264">
        <v>5118230170000100</v>
      </c>
      <c r="G264" t="s">
        <v>643</v>
      </c>
      <c r="H264" t="s">
        <v>644</v>
      </c>
      <c r="I264" t="s">
        <v>31</v>
      </c>
      <c r="J264" t="s">
        <v>30</v>
      </c>
      <c r="K264" t="s">
        <v>638</v>
      </c>
      <c r="L264" t="s">
        <v>31</v>
      </c>
      <c r="M264" t="s">
        <v>31</v>
      </c>
      <c r="N264" t="s">
        <v>31</v>
      </c>
      <c r="O264" t="s">
        <v>31</v>
      </c>
      <c r="P264" t="s">
        <v>31</v>
      </c>
      <c r="Q264" t="s">
        <v>31</v>
      </c>
      <c r="R264" t="s">
        <v>31</v>
      </c>
      <c r="S264" t="s">
        <v>31</v>
      </c>
      <c r="T264">
        <v>17</v>
      </c>
      <c r="U264">
        <v>22</v>
      </c>
      <c r="V264" t="s">
        <v>31</v>
      </c>
      <c r="W264" t="s">
        <v>31</v>
      </c>
      <c r="X264" t="s">
        <v>31</v>
      </c>
      <c r="Y264" t="s">
        <v>31</v>
      </c>
      <c r="Z264" t="s">
        <v>31</v>
      </c>
      <c r="AA264">
        <v>0</v>
      </c>
    </row>
    <row r="265" spans="1:27" x14ac:dyDescent="0.25">
      <c r="A265">
        <v>265</v>
      </c>
      <c r="B265" t="s">
        <v>27</v>
      </c>
      <c r="C265">
        <v>584</v>
      </c>
      <c r="D265" t="s">
        <v>53</v>
      </c>
      <c r="E265">
        <v>5118230000144000</v>
      </c>
      <c r="F265">
        <v>5118230000144000</v>
      </c>
      <c r="G265" t="s">
        <v>645</v>
      </c>
      <c r="H265">
        <v>144</v>
      </c>
      <c r="I265">
        <v>6253210144</v>
      </c>
      <c r="J265" t="s">
        <v>30</v>
      </c>
      <c r="K265" t="s">
        <v>646</v>
      </c>
      <c r="L265" t="s">
        <v>31</v>
      </c>
      <c r="M265" t="s">
        <v>31</v>
      </c>
      <c r="N265">
        <v>0</v>
      </c>
      <c r="O265" t="s">
        <v>110</v>
      </c>
      <c r="P265" t="s">
        <v>647</v>
      </c>
      <c r="Q265" t="s">
        <v>47</v>
      </c>
      <c r="R265" t="s">
        <v>61</v>
      </c>
      <c r="S265" t="s">
        <v>61</v>
      </c>
      <c r="T265">
        <v>36</v>
      </c>
      <c r="U265">
        <v>55</v>
      </c>
      <c r="V265" t="s">
        <v>31</v>
      </c>
      <c r="W265" t="s">
        <v>52</v>
      </c>
      <c r="X265" t="s">
        <v>160</v>
      </c>
      <c r="Y265">
        <v>0</v>
      </c>
      <c r="Z265" t="s">
        <v>40</v>
      </c>
      <c r="AA265">
        <v>1</v>
      </c>
    </row>
    <row r="266" spans="1:27" x14ac:dyDescent="0.25">
      <c r="A266">
        <v>266</v>
      </c>
      <c r="B266" t="s">
        <v>27</v>
      </c>
      <c r="C266">
        <v>761</v>
      </c>
      <c r="D266" t="s">
        <v>53</v>
      </c>
      <c r="E266">
        <v>5118230110020100</v>
      </c>
      <c r="F266">
        <v>5118230110020100</v>
      </c>
      <c r="G266" t="s">
        <v>648</v>
      </c>
      <c r="H266" t="s">
        <v>649</v>
      </c>
      <c r="I266" t="s">
        <v>31</v>
      </c>
      <c r="J266" t="s">
        <v>30</v>
      </c>
      <c r="K266" t="s">
        <v>650</v>
      </c>
      <c r="L266" t="s">
        <v>31</v>
      </c>
      <c r="M266" t="s">
        <v>31</v>
      </c>
      <c r="N266" t="s">
        <v>31</v>
      </c>
      <c r="O266" t="s">
        <v>31</v>
      </c>
      <c r="P266" t="s">
        <v>31</v>
      </c>
      <c r="Q266" t="s">
        <v>31</v>
      </c>
      <c r="R266" t="s">
        <v>31</v>
      </c>
      <c r="S266" t="s">
        <v>31</v>
      </c>
      <c r="T266">
        <v>90</v>
      </c>
      <c r="U266">
        <v>122</v>
      </c>
      <c r="V266" t="s">
        <v>31</v>
      </c>
      <c r="W266" t="s">
        <v>31</v>
      </c>
      <c r="X266" t="s">
        <v>31</v>
      </c>
      <c r="Y266" t="s">
        <v>31</v>
      </c>
      <c r="Z266" t="s">
        <v>31</v>
      </c>
      <c r="AA266">
        <v>0</v>
      </c>
    </row>
    <row r="267" spans="1:27" x14ac:dyDescent="0.25">
      <c r="A267">
        <v>267</v>
      </c>
      <c r="B267" t="s">
        <v>27</v>
      </c>
      <c r="C267">
        <v>693</v>
      </c>
      <c r="D267" t="s">
        <v>28</v>
      </c>
      <c r="E267">
        <v>5118230000254000</v>
      </c>
      <c r="F267">
        <v>5118230000254000</v>
      </c>
      <c r="G267" t="s">
        <v>651</v>
      </c>
      <c r="H267">
        <v>254</v>
      </c>
      <c r="I267">
        <v>6253210254</v>
      </c>
      <c r="J267" t="s">
        <v>30</v>
      </c>
      <c r="K267" t="s">
        <v>652</v>
      </c>
      <c r="L267" t="s">
        <v>31</v>
      </c>
      <c r="M267" t="s">
        <v>31</v>
      </c>
      <c r="N267">
        <v>0</v>
      </c>
      <c r="O267" t="s">
        <v>59</v>
      </c>
      <c r="P267" t="s">
        <v>631</v>
      </c>
      <c r="Q267" t="s">
        <v>47</v>
      </c>
      <c r="R267" t="s">
        <v>36</v>
      </c>
      <c r="S267" t="s">
        <v>36</v>
      </c>
      <c r="T267">
        <v>20</v>
      </c>
      <c r="U267">
        <v>160</v>
      </c>
      <c r="V267" t="s">
        <v>37</v>
      </c>
      <c r="W267" t="s">
        <v>52</v>
      </c>
      <c r="X267" t="s">
        <v>39</v>
      </c>
      <c r="Y267">
        <v>0</v>
      </c>
      <c r="Z267" t="s">
        <v>40</v>
      </c>
      <c r="AA267">
        <v>0</v>
      </c>
    </row>
    <row r="268" spans="1:27" x14ac:dyDescent="0.25">
      <c r="A268">
        <v>268</v>
      </c>
      <c r="B268" t="s">
        <v>27</v>
      </c>
      <c r="C268">
        <v>780</v>
      </c>
      <c r="D268" t="s">
        <v>28</v>
      </c>
      <c r="E268">
        <v>5118230170000100</v>
      </c>
      <c r="F268">
        <v>5118230170000100</v>
      </c>
      <c r="G268" t="s">
        <v>653</v>
      </c>
      <c r="H268" t="s">
        <v>654</v>
      </c>
      <c r="I268" t="s">
        <v>31</v>
      </c>
      <c r="J268" t="s">
        <v>30</v>
      </c>
      <c r="K268" t="s">
        <v>655</v>
      </c>
      <c r="L268" t="s">
        <v>31</v>
      </c>
      <c r="M268" t="s">
        <v>31</v>
      </c>
      <c r="N268" t="s">
        <v>31</v>
      </c>
      <c r="O268" t="s">
        <v>31</v>
      </c>
      <c r="P268" t="s">
        <v>31</v>
      </c>
      <c r="Q268" t="s">
        <v>31</v>
      </c>
      <c r="R268" t="s">
        <v>31</v>
      </c>
      <c r="S268" t="s">
        <v>31</v>
      </c>
      <c r="T268">
        <v>24</v>
      </c>
      <c r="U268">
        <v>30</v>
      </c>
      <c r="V268" t="s">
        <v>31</v>
      </c>
      <c r="W268" t="s">
        <v>31</v>
      </c>
      <c r="X268" t="s">
        <v>31</v>
      </c>
      <c r="Y268" t="s">
        <v>31</v>
      </c>
      <c r="Z268" t="s">
        <v>31</v>
      </c>
      <c r="AA268">
        <v>0</v>
      </c>
    </row>
    <row r="269" spans="1:27" x14ac:dyDescent="0.25">
      <c r="A269">
        <v>269</v>
      </c>
      <c r="B269" t="s">
        <v>27</v>
      </c>
      <c r="C269">
        <v>477</v>
      </c>
      <c r="D269" t="s">
        <v>53</v>
      </c>
      <c r="E269">
        <v>5118230000036000</v>
      </c>
      <c r="F269">
        <v>5118230000036000</v>
      </c>
      <c r="G269" t="s">
        <v>648</v>
      </c>
      <c r="H269">
        <v>36</v>
      </c>
      <c r="I269">
        <v>6253050036</v>
      </c>
      <c r="J269" t="s">
        <v>30</v>
      </c>
      <c r="K269" t="s">
        <v>656</v>
      </c>
      <c r="L269" t="s">
        <v>31</v>
      </c>
      <c r="M269" t="s">
        <v>31</v>
      </c>
      <c r="N269">
        <v>0</v>
      </c>
      <c r="O269" t="s">
        <v>67</v>
      </c>
      <c r="P269" t="s">
        <v>94</v>
      </c>
      <c r="Q269" t="s">
        <v>47</v>
      </c>
      <c r="R269" t="s">
        <v>61</v>
      </c>
      <c r="S269" t="s">
        <v>61</v>
      </c>
      <c r="T269">
        <v>90</v>
      </c>
      <c r="U269">
        <v>260</v>
      </c>
      <c r="V269" t="s">
        <v>31</v>
      </c>
      <c r="W269" t="s">
        <v>52</v>
      </c>
      <c r="X269" t="s">
        <v>39</v>
      </c>
      <c r="Y269">
        <v>0</v>
      </c>
      <c r="Z269" t="s">
        <v>40</v>
      </c>
      <c r="AA269">
        <v>0</v>
      </c>
    </row>
    <row r="270" spans="1:27" x14ac:dyDescent="0.25">
      <c r="A270">
        <v>270</v>
      </c>
      <c r="B270" t="s">
        <v>27</v>
      </c>
      <c r="C270">
        <v>694</v>
      </c>
      <c r="D270" t="s">
        <v>53</v>
      </c>
      <c r="E270">
        <v>5118230000255000</v>
      </c>
      <c r="F270">
        <v>5118230000255000</v>
      </c>
      <c r="G270" t="s">
        <v>657</v>
      </c>
      <c r="H270">
        <v>255</v>
      </c>
      <c r="I270">
        <v>6253210255</v>
      </c>
      <c r="J270" t="s">
        <v>30</v>
      </c>
      <c r="K270" t="s">
        <v>658</v>
      </c>
      <c r="L270" t="s">
        <v>31</v>
      </c>
      <c r="M270" t="s">
        <v>31</v>
      </c>
      <c r="N270">
        <v>0</v>
      </c>
      <c r="O270" t="s">
        <v>59</v>
      </c>
      <c r="P270" t="s">
        <v>631</v>
      </c>
      <c r="Q270" t="s">
        <v>47</v>
      </c>
      <c r="R270" t="s">
        <v>61</v>
      </c>
      <c r="S270" t="s">
        <v>31</v>
      </c>
      <c r="T270">
        <v>119</v>
      </c>
      <c r="U270">
        <v>205</v>
      </c>
      <c r="V270" t="s">
        <v>38</v>
      </c>
      <c r="W270" t="s">
        <v>38</v>
      </c>
      <c r="X270" t="s">
        <v>85</v>
      </c>
      <c r="Y270">
        <v>0</v>
      </c>
      <c r="Z270" t="s">
        <v>40</v>
      </c>
      <c r="AA270">
        <v>12</v>
      </c>
    </row>
    <row r="271" spans="1:27" x14ac:dyDescent="0.25">
      <c r="A271">
        <v>271</v>
      </c>
      <c r="B271" t="s">
        <v>27</v>
      </c>
      <c r="C271">
        <v>684</v>
      </c>
      <c r="D271" t="s">
        <v>28</v>
      </c>
      <c r="E271">
        <v>5118230000245000</v>
      </c>
      <c r="F271">
        <v>5118230000245000</v>
      </c>
      <c r="G271" t="s">
        <v>659</v>
      </c>
      <c r="H271">
        <v>245</v>
      </c>
      <c r="I271">
        <v>6253190245</v>
      </c>
      <c r="J271" t="s">
        <v>30</v>
      </c>
      <c r="K271" t="s">
        <v>660</v>
      </c>
      <c r="L271" t="s">
        <v>31</v>
      </c>
      <c r="M271" t="s">
        <v>31</v>
      </c>
      <c r="N271">
        <v>0</v>
      </c>
      <c r="O271" t="s">
        <v>33</v>
      </c>
      <c r="P271" t="s">
        <v>661</v>
      </c>
      <c r="Q271" t="s">
        <v>47</v>
      </c>
      <c r="R271" t="s">
        <v>36</v>
      </c>
      <c r="S271" t="s">
        <v>36</v>
      </c>
      <c r="T271">
        <v>0</v>
      </c>
      <c r="U271">
        <v>1</v>
      </c>
      <c r="V271" t="s">
        <v>37</v>
      </c>
      <c r="W271" t="s">
        <v>37</v>
      </c>
      <c r="X271" t="s">
        <v>48</v>
      </c>
      <c r="Y271">
        <v>0</v>
      </c>
      <c r="Z271" t="s">
        <v>40</v>
      </c>
      <c r="AA271">
        <v>0</v>
      </c>
    </row>
    <row r="272" spans="1:27" x14ac:dyDescent="0.25">
      <c r="A272">
        <v>272</v>
      </c>
      <c r="B272" t="s">
        <v>27</v>
      </c>
      <c r="C272">
        <v>685</v>
      </c>
      <c r="D272" t="s">
        <v>53</v>
      </c>
      <c r="E272">
        <v>5118230000246000</v>
      </c>
      <c r="F272">
        <v>5118230000246000</v>
      </c>
      <c r="G272" t="s">
        <v>662</v>
      </c>
      <c r="H272">
        <v>246</v>
      </c>
      <c r="I272">
        <v>6253190246</v>
      </c>
      <c r="J272" t="s">
        <v>30</v>
      </c>
      <c r="K272" t="s">
        <v>663</v>
      </c>
      <c r="L272" t="s">
        <v>31</v>
      </c>
      <c r="M272" t="s">
        <v>31</v>
      </c>
      <c r="N272">
        <v>0</v>
      </c>
      <c r="O272" t="s">
        <v>67</v>
      </c>
      <c r="P272" t="s">
        <v>664</v>
      </c>
      <c r="Q272" t="s">
        <v>47</v>
      </c>
      <c r="R272" t="s">
        <v>61</v>
      </c>
      <c r="S272" t="s">
        <v>31</v>
      </c>
      <c r="T272">
        <v>45</v>
      </c>
      <c r="U272">
        <v>1</v>
      </c>
      <c r="V272" t="s">
        <v>52</v>
      </c>
      <c r="W272" t="s">
        <v>52</v>
      </c>
      <c r="X272" t="s">
        <v>85</v>
      </c>
      <c r="Y272">
        <v>0</v>
      </c>
      <c r="Z272" t="s">
        <v>40</v>
      </c>
      <c r="AA272">
        <v>10</v>
      </c>
    </row>
    <row r="273" spans="1:27" x14ac:dyDescent="0.25">
      <c r="A273">
        <v>273</v>
      </c>
      <c r="B273" t="s">
        <v>27</v>
      </c>
      <c r="C273">
        <v>803</v>
      </c>
      <c r="D273" t="s">
        <v>53</v>
      </c>
      <c r="E273">
        <v>5118230210010100</v>
      </c>
      <c r="F273">
        <v>5118230210010100</v>
      </c>
      <c r="G273" t="s">
        <v>665</v>
      </c>
      <c r="H273" t="s">
        <v>666</v>
      </c>
      <c r="I273" t="s">
        <v>31</v>
      </c>
      <c r="J273" t="s">
        <v>30</v>
      </c>
      <c r="K273" t="s">
        <v>667</v>
      </c>
      <c r="L273" t="s">
        <v>31</v>
      </c>
      <c r="M273" t="s">
        <v>31</v>
      </c>
      <c r="N273" t="s">
        <v>31</v>
      </c>
      <c r="O273" t="s">
        <v>31</v>
      </c>
      <c r="P273" t="s">
        <v>31</v>
      </c>
      <c r="Q273" t="s">
        <v>31</v>
      </c>
      <c r="R273" t="s">
        <v>31</v>
      </c>
      <c r="S273" t="s">
        <v>31</v>
      </c>
      <c r="T273">
        <v>45</v>
      </c>
      <c r="U273">
        <v>72</v>
      </c>
      <c r="V273" t="s">
        <v>31</v>
      </c>
      <c r="W273" t="s">
        <v>31</v>
      </c>
      <c r="X273" t="s">
        <v>31</v>
      </c>
      <c r="Y273" t="s">
        <v>31</v>
      </c>
      <c r="Z273" t="s">
        <v>31</v>
      </c>
      <c r="AA273">
        <v>0</v>
      </c>
    </row>
    <row r="274" spans="1:27" x14ac:dyDescent="0.25">
      <c r="A274">
        <v>274</v>
      </c>
      <c r="B274" t="s">
        <v>27</v>
      </c>
      <c r="C274">
        <v>686</v>
      </c>
      <c r="D274" t="s">
        <v>53</v>
      </c>
      <c r="E274">
        <v>5118230000247000</v>
      </c>
      <c r="F274">
        <v>5118230000247000</v>
      </c>
      <c r="G274" t="s">
        <v>668</v>
      </c>
      <c r="H274">
        <v>247</v>
      </c>
      <c r="I274">
        <v>6253190247</v>
      </c>
      <c r="J274" t="s">
        <v>30</v>
      </c>
      <c r="K274" t="s">
        <v>669</v>
      </c>
      <c r="L274" t="s">
        <v>31</v>
      </c>
      <c r="M274" t="s">
        <v>31</v>
      </c>
      <c r="N274">
        <v>0</v>
      </c>
      <c r="O274" t="s">
        <v>59</v>
      </c>
      <c r="P274" t="s">
        <v>670</v>
      </c>
      <c r="Q274" t="s">
        <v>47</v>
      </c>
      <c r="R274" t="s">
        <v>61</v>
      </c>
      <c r="S274" t="s">
        <v>31</v>
      </c>
      <c r="T274">
        <v>125</v>
      </c>
      <c r="U274">
        <v>5</v>
      </c>
      <c r="V274" t="s">
        <v>31</v>
      </c>
      <c r="W274" t="s">
        <v>38</v>
      </c>
      <c r="X274" t="s">
        <v>99</v>
      </c>
      <c r="Y274">
        <v>0</v>
      </c>
      <c r="Z274" t="s">
        <v>40</v>
      </c>
      <c r="AA274">
        <v>5</v>
      </c>
    </row>
    <row r="275" spans="1:27" x14ac:dyDescent="0.25">
      <c r="A275">
        <v>275</v>
      </c>
      <c r="B275" t="s">
        <v>27</v>
      </c>
      <c r="C275">
        <v>784</v>
      </c>
      <c r="D275" t="s">
        <v>53</v>
      </c>
      <c r="E275">
        <v>5118230170030100</v>
      </c>
      <c r="F275">
        <v>5118230170030100</v>
      </c>
      <c r="G275" t="s">
        <v>671</v>
      </c>
      <c r="H275" t="s">
        <v>672</v>
      </c>
      <c r="I275" t="s">
        <v>31</v>
      </c>
      <c r="J275" t="s">
        <v>30</v>
      </c>
      <c r="K275" t="s">
        <v>673</v>
      </c>
      <c r="L275" t="s">
        <v>31</v>
      </c>
      <c r="M275" t="s">
        <v>31</v>
      </c>
      <c r="N275" t="s">
        <v>31</v>
      </c>
      <c r="O275" t="s">
        <v>31</v>
      </c>
      <c r="P275" t="s">
        <v>31</v>
      </c>
      <c r="Q275" t="s">
        <v>31</v>
      </c>
      <c r="R275" t="s">
        <v>31</v>
      </c>
      <c r="S275" t="s">
        <v>31</v>
      </c>
      <c r="T275">
        <v>13</v>
      </c>
      <c r="U275">
        <v>17</v>
      </c>
      <c r="V275" t="s">
        <v>31</v>
      </c>
      <c r="W275" t="s">
        <v>31</v>
      </c>
      <c r="X275" t="s">
        <v>31</v>
      </c>
      <c r="Y275" t="s">
        <v>31</v>
      </c>
      <c r="Z275" t="s">
        <v>31</v>
      </c>
      <c r="AA275">
        <v>0</v>
      </c>
    </row>
    <row r="276" spans="1:27" x14ac:dyDescent="0.25">
      <c r="A276">
        <v>276</v>
      </c>
      <c r="B276" t="s">
        <v>27</v>
      </c>
      <c r="C276">
        <v>692</v>
      </c>
      <c r="D276" t="s">
        <v>53</v>
      </c>
      <c r="E276">
        <v>5118230000253000</v>
      </c>
      <c r="F276">
        <v>5118230000253000</v>
      </c>
      <c r="G276" t="s">
        <v>674</v>
      </c>
      <c r="H276">
        <v>253</v>
      </c>
      <c r="I276">
        <v>6253210253</v>
      </c>
      <c r="J276" t="s">
        <v>30</v>
      </c>
      <c r="K276" t="s">
        <v>675</v>
      </c>
      <c r="L276" t="s">
        <v>31</v>
      </c>
      <c r="M276" t="s">
        <v>31</v>
      </c>
      <c r="N276">
        <v>0</v>
      </c>
      <c r="O276" t="s">
        <v>67</v>
      </c>
      <c r="P276" t="s">
        <v>118</v>
      </c>
      <c r="Q276" t="s">
        <v>47</v>
      </c>
      <c r="R276" t="s">
        <v>61</v>
      </c>
      <c r="S276" t="s">
        <v>31</v>
      </c>
      <c r="T276">
        <v>336</v>
      </c>
      <c r="U276">
        <v>1</v>
      </c>
      <c r="V276" t="s">
        <v>52</v>
      </c>
      <c r="W276" t="s">
        <v>38</v>
      </c>
      <c r="X276" t="s">
        <v>85</v>
      </c>
      <c r="Y276">
        <v>0</v>
      </c>
      <c r="Z276" t="s">
        <v>40</v>
      </c>
      <c r="AA276">
        <v>11</v>
      </c>
    </row>
    <row r="277" spans="1:27" x14ac:dyDescent="0.25">
      <c r="A277">
        <v>277</v>
      </c>
      <c r="B277" t="s">
        <v>27</v>
      </c>
      <c r="C277">
        <v>785</v>
      </c>
      <c r="D277" t="s">
        <v>53</v>
      </c>
      <c r="E277">
        <v>5118230170040100</v>
      </c>
      <c r="F277">
        <v>5118230170040100</v>
      </c>
      <c r="G277" t="s">
        <v>676</v>
      </c>
      <c r="H277" t="s">
        <v>677</v>
      </c>
      <c r="I277" t="s">
        <v>31</v>
      </c>
      <c r="J277" t="s">
        <v>30</v>
      </c>
      <c r="K277" t="s">
        <v>673</v>
      </c>
      <c r="L277" t="s">
        <v>31</v>
      </c>
      <c r="M277" t="s">
        <v>31</v>
      </c>
      <c r="N277" t="s">
        <v>31</v>
      </c>
      <c r="O277" t="s">
        <v>31</v>
      </c>
      <c r="P277" t="s">
        <v>31</v>
      </c>
      <c r="Q277" t="s">
        <v>31</v>
      </c>
      <c r="R277" t="s">
        <v>31</v>
      </c>
      <c r="S277" t="s">
        <v>31</v>
      </c>
      <c r="T277">
        <v>8</v>
      </c>
      <c r="U277">
        <v>11</v>
      </c>
      <c r="V277" t="s">
        <v>31</v>
      </c>
      <c r="W277" t="s">
        <v>31</v>
      </c>
      <c r="X277" t="s">
        <v>31</v>
      </c>
      <c r="Y277" t="s">
        <v>31</v>
      </c>
      <c r="Z277" t="s">
        <v>31</v>
      </c>
      <c r="AA277">
        <v>0</v>
      </c>
    </row>
    <row r="278" spans="1:27" x14ac:dyDescent="0.25">
      <c r="A278">
        <v>278</v>
      </c>
      <c r="B278" t="s">
        <v>27</v>
      </c>
      <c r="C278">
        <v>802</v>
      </c>
      <c r="D278" t="s">
        <v>41</v>
      </c>
      <c r="E278">
        <v>5118230210000100</v>
      </c>
      <c r="F278">
        <v>5118230210000100</v>
      </c>
      <c r="G278" t="s">
        <v>678</v>
      </c>
      <c r="H278" t="s">
        <v>679</v>
      </c>
      <c r="I278" t="s">
        <v>31</v>
      </c>
      <c r="J278" t="s">
        <v>30</v>
      </c>
      <c r="K278" t="s">
        <v>680</v>
      </c>
      <c r="L278" t="s">
        <v>31</v>
      </c>
      <c r="M278" t="s">
        <v>31</v>
      </c>
      <c r="N278" t="s">
        <v>31</v>
      </c>
      <c r="O278" t="s">
        <v>31</v>
      </c>
      <c r="P278" t="s">
        <v>31</v>
      </c>
      <c r="Q278" t="s">
        <v>31</v>
      </c>
      <c r="R278" t="s">
        <v>31</v>
      </c>
      <c r="S278" t="s">
        <v>31</v>
      </c>
      <c r="T278">
        <v>23</v>
      </c>
      <c r="U278">
        <v>400</v>
      </c>
      <c r="V278" t="s">
        <v>31</v>
      </c>
      <c r="W278" t="s">
        <v>31</v>
      </c>
      <c r="X278" t="s">
        <v>31</v>
      </c>
      <c r="Y278" t="s">
        <v>31</v>
      </c>
      <c r="Z278" t="s">
        <v>31</v>
      </c>
      <c r="AA278">
        <v>0</v>
      </c>
    </row>
    <row r="279" spans="1:27" x14ac:dyDescent="0.25">
      <c r="A279">
        <v>279</v>
      </c>
      <c r="B279" t="s">
        <v>27</v>
      </c>
      <c r="C279">
        <v>783</v>
      </c>
      <c r="D279" t="s">
        <v>53</v>
      </c>
      <c r="E279">
        <v>5118230170020100</v>
      </c>
      <c r="F279">
        <v>5118230170020100</v>
      </c>
      <c r="G279" t="s">
        <v>681</v>
      </c>
      <c r="H279" t="s">
        <v>682</v>
      </c>
      <c r="I279" t="s">
        <v>31</v>
      </c>
      <c r="J279" t="s">
        <v>30</v>
      </c>
      <c r="K279" t="s">
        <v>673</v>
      </c>
      <c r="L279" t="s">
        <v>31</v>
      </c>
      <c r="M279" t="s">
        <v>31</v>
      </c>
      <c r="N279" t="s">
        <v>31</v>
      </c>
      <c r="O279" t="s">
        <v>31</v>
      </c>
      <c r="P279" t="s">
        <v>31</v>
      </c>
      <c r="Q279" t="s">
        <v>31</v>
      </c>
      <c r="R279" t="s">
        <v>31</v>
      </c>
      <c r="S279" t="s">
        <v>31</v>
      </c>
      <c r="T279">
        <v>8</v>
      </c>
      <c r="U279">
        <v>21</v>
      </c>
      <c r="V279" t="s">
        <v>31</v>
      </c>
      <c r="W279" t="s">
        <v>31</v>
      </c>
      <c r="X279" t="s">
        <v>31</v>
      </c>
      <c r="Y279" t="s">
        <v>31</v>
      </c>
      <c r="Z279" t="s">
        <v>31</v>
      </c>
      <c r="AA279">
        <v>0</v>
      </c>
    </row>
    <row r="280" spans="1:27" x14ac:dyDescent="0.25">
      <c r="A280">
        <v>280</v>
      </c>
      <c r="B280" t="s">
        <v>27</v>
      </c>
      <c r="C280">
        <v>773</v>
      </c>
      <c r="D280" t="s">
        <v>53</v>
      </c>
      <c r="E280">
        <v>5118230130020100</v>
      </c>
      <c r="F280">
        <v>5118230130020100</v>
      </c>
      <c r="G280" t="s">
        <v>683</v>
      </c>
      <c r="H280" t="s">
        <v>684</v>
      </c>
      <c r="I280" t="s">
        <v>31</v>
      </c>
      <c r="J280" t="s">
        <v>30</v>
      </c>
      <c r="K280" t="s">
        <v>685</v>
      </c>
      <c r="L280" t="s">
        <v>31</v>
      </c>
      <c r="M280" t="s">
        <v>31</v>
      </c>
      <c r="N280" t="s">
        <v>31</v>
      </c>
      <c r="O280" t="s">
        <v>31</v>
      </c>
      <c r="P280" t="s">
        <v>31</v>
      </c>
      <c r="Q280" t="s">
        <v>31</v>
      </c>
      <c r="R280" t="s">
        <v>31</v>
      </c>
      <c r="S280" t="s">
        <v>31</v>
      </c>
      <c r="T280">
        <v>50</v>
      </c>
      <c r="U280">
        <v>67</v>
      </c>
      <c r="V280" t="s">
        <v>31</v>
      </c>
      <c r="W280" t="s">
        <v>31</v>
      </c>
      <c r="X280" t="s">
        <v>31</v>
      </c>
      <c r="Y280" t="s">
        <v>31</v>
      </c>
      <c r="Z280" t="s">
        <v>31</v>
      </c>
      <c r="AA280">
        <v>0</v>
      </c>
    </row>
    <row r="281" spans="1:27" x14ac:dyDescent="0.25">
      <c r="A281">
        <v>281</v>
      </c>
      <c r="B281" t="s">
        <v>27</v>
      </c>
      <c r="C281">
        <v>475</v>
      </c>
      <c r="D281" t="s">
        <v>28</v>
      </c>
      <c r="E281">
        <v>5118230000034000</v>
      </c>
      <c r="F281">
        <v>5118230000034000</v>
      </c>
      <c r="G281" t="s">
        <v>686</v>
      </c>
      <c r="H281">
        <v>34</v>
      </c>
      <c r="I281">
        <v>6253050034</v>
      </c>
      <c r="J281" t="s">
        <v>30</v>
      </c>
      <c r="K281" t="s">
        <v>687</v>
      </c>
      <c r="L281" t="s">
        <v>31</v>
      </c>
      <c r="M281" t="s">
        <v>31</v>
      </c>
      <c r="N281">
        <v>0</v>
      </c>
      <c r="O281" t="s">
        <v>688</v>
      </c>
      <c r="P281" t="s">
        <v>602</v>
      </c>
      <c r="Q281" t="s">
        <v>47</v>
      </c>
      <c r="R281" t="s">
        <v>36</v>
      </c>
      <c r="S281" t="s">
        <v>36</v>
      </c>
      <c r="T281">
        <v>19</v>
      </c>
      <c r="U281">
        <v>1</v>
      </c>
      <c r="V281" t="s">
        <v>37</v>
      </c>
      <c r="W281" t="s">
        <v>52</v>
      </c>
      <c r="X281" t="s">
        <v>39</v>
      </c>
      <c r="Y281">
        <v>0</v>
      </c>
      <c r="Z281" t="s">
        <v>40</v>
      </c>
      <c r="AA281">
        <v>0</v>
      </c>
    </row>
    <row r="282" spans="1:27" x14ac:dyDescent="0.25">
      <c r="A282">
        <v>282</v>
      </c>
      <c r="B282" t="s">
        <v>27</v>
      </c>
      <c r="C282">
        <v>757</v>
      </c>
      <c r="D282" t="s">
        <v>28</v>
      </c>
      <c r="E282">
        <v>5118230110000100</v>
      </c>
      <c r="F282">
        <v>5118230110000100</v>
      </c>
      <c r="G282" t="s">
        <v>689</v>
      </c>
      <c r="H282" t="s">
        <v>690</v>
      </c>
      <c r="I282" t="s">
        <v>31</v>
      </c>
      <c r="J282" t="s">
        <v>30</v>
      </c>
      <c r="K282" t="s">
        <v>691</v>
      </c>
      <c r="L282" t="s">
        <v>31</v>
      </c>
      <c r="M282" t="s">
        <v>31</v>
      </c>
      <c r="N282" t="s">
        <v>31</v>
      </c>
      <c r="O282" t="s">
        <v>31</v>
      </c>
      <c r="P282" t="s">
        <v>31</v>
      </c>
      <c r="Q282" t="s">
        <v>31</v>
      </c>
      <c r="R282" t="s">
        <v>31</v>
      </c>
      <c r="S282" t="s">
        <v>31</v>
      </c>
      <c r="T282">
        <v>19</v>
      </c>
      <c r="U282">
        <v>24</v>
      </c>
      <c r="V282" t="s">
        <v>31</v>
      </c>
      <c r="W282" t="s">
        <v>31</v>
      </c>
      <c r="X282" t="s">
        <v>31</v>
      </c>
      <c r="Y282" t="s">
        <v>31</v>
      </c>
      <c r="Z282" t="s">
        <v>31</v>
      </c>
      <c r="AA282">
        <v>0</v>
      </c>
    </row>
    <row r="283" spans="1:27" x14ac:dyDescent="0.25">
      <c r="A283">
        <v>283</v>
      </c>
      <c r="B283" t="s">
        <v>27</v>
      </c>
      <c r="C283">
        <v>688</v>
      </c>
      <c r="D283" t="s">
        <v>53</v>
      </c>
      <c r="E283">
        <v>5118230000249000</v>
      </c>
      <c r="F283">
        <v>5118230000249000</v>
      </c>
      <c r="G283" t="s">
        <v>692</v>
      </c>
      <c r="H283">
        <v>249</v>
      </c>
      <c r="I283">
        <v>6253190249</v>
      </c>
      <c r="J283" t="s">
        <v>30</v>
      </c>
      <c r="K283" t="s">
        <v>693</v>
      </c>
      <c r="L283" t="s">
        <v>31</v>
      </c>
      <c r="M283" t="s">
        <v>31</v>
      </c>
      <c r="N283">
        <v>0</v>
      </c>
      <c r="O283" t="s">
        <v>557</v>
      </c>
      <c r="P283" t="s">
        <v>509</v>
      </c>
      <c r="Q283" t="s">
        <v>47</v>
      </c>
      <c r="R283" t="s">
        <v>61</v>
      </c>
      <c r="S283" t="s">
        <v>61</v>
      </c>
      <c r="T283">
        <v>5</v>
      </c>
      <c r="U283">
        <v>20</v>
      </c>
      <c r="V283" t="s">
        <v>31</v>
      </c>
      <c r="W283" t="s">
        <v>37</v>
      </c>
      <c r="X283" t="s">
        <v>115</v>
      </c>
      <c r="Y283">
        <v>0</v>
      </c>
      <c r="Z283" t="s">
        <v>40</v>
      </c>
      <c r="AA283">
        <v>0</v>
      </c>
    </row>
    <row r="284" spans="1:27" x14ac:dyDescent="0.25">
      <c r="A284">
        <v>284</v>
      </c>
      <c r="B284" t="s">
        <v>27</v>
      </c>
      <c r="C284">
        <v>806</v>
      </c>
      <c r="D284" t="s">
        <v>53</v>
      </c>
      <c r="E284">
        <v>5118230210040100</v>
      </c>
      <c r="F284">
        <v>5118230210040100</v>
      </c>
      <c r="G284" t="s">
        <v>694</v>
      </c>
      <c r="H284" t="s">
        <v>695</v>
      </c>
      <c r="I284" t="s">
        <v>31</v>
      </c>
      <c r="J284" t="s">
        <v>30</v>
      </c>
      <c r="K284" t="s">
        <v>696</v>
      </c>
      <c r="L284" t="s">
        <v>31</v>
      </c>
      <c r="M284" t="s">
        <v>31</v>
      </c>
      <c r="N284" t="s">
        <v>31</v>
      </c>
      <c r="O284" t="s">
        <v>31</v>
      </c>
      <c r="P284" t="s">
        <v>31</v>
      </c>
      <c r="Q284" t="s">
        <v>31</v>
      </c>
      <c r="R284" t="s">
        <v>31</v>
      </c>
      <c r="S284" t="s">
        <v>31</v>
      </c>
      <c r="T284">
        <v>23</v>
      </c>
      <c r="U284">
        <v>10</v>
      </c>
      <c r="V284" t="s">
        <v>31</v>
      </c>
      <c r="W284" t="s">
        <v>31</v>
      </c>
      <c r="X284" t="s">
        <v>31</v>
      </c>
      <c r="Y284" t="s">
        <v>31</v>
      </c>
      <c r="Z284" t="s">
        <v>31</v>
      </c>
      <c r="AA284">
        <v>0</v>
      </c>
    </row>
    <row r="285" spans="1:27" x14ac:dyDescent="0.25">
      <c r="A285">
        <v>285</v>
      </c>
      <c r="B285" t="s">
        <v>27</v>
      </c>
      <c r="C285">
        <v>805</v>
      </c>
      <c r="D285" t="s">
        <v>53</v>
      </c>
      <c r="E285">
        <v>5118230210030100</v>
      </c>
      <c r="F285">
        <v>5118230210030100</v>
      </c>
      <c r="G285" t="s">
        <v>697</v>
      </c>
      <c r="H285" t="s">
        <v>698</v>
      </c>
      <c r="I285" t="s">
        <v>31</v>
      </c>
      <c r="J285" t="s">
        <v>30</v>
      </c>
      <c r="K285" t="s">
        <v>696</v>
      </c>
      <c r="L285" t="s">
        <v>31</v>
      </c>
      <c r="M285" t="s">
        <v>31</v>
      </c>
      <c r="N285" t="s">
        <v>31</v>
      </c>
      <c r="O285" t="s">
        <v>31</v>
      </c>
      <c r="P285" t="s">
        <v>31</v>
      </c>
      <c r="Q285" t="s">
        <v>31</v>
      </c>
      <c r="R285" t="s">
        <v>31</v>
      </c>
      <c r="S285" t="s">
        <v>31</v>
      </c>
      <c r="T285">
        <v>20</v>
      </c>
      <c r="U285">
        <v>35</v>
      </c>
      <c r="V285" t="s">
        <v>31</v>
      </c>
      <c r="W285" t="s">
        <v>31</v>
      </c>
      <c r="X285" t="s">
        <v>31</v>
      </c>
      <c r="Y285" t="s">
        <v>31</v>
      </c>
      <c r="Z285" t="s">
        <v>31</v>
      </c>
      <c r="AA285">
        <v>0</v>
      </c>
    </row>
    <row r="286" spans="1:27" x14ac:dyDescent="0.25">
      <c r="A286">
        <v>286</v>
      </c>
      <c r="B286" t="s">
        <v>27</v>
      </c>
      <c r="C286">
        <v>682</v>
      </c>
      <c r="D286" t="s">
        <v>41</v>
      </c>
      <c r="E286">
        <v>5118230000243000</v>
      </c>
      <c r="F286">
        <v>5118230000243000</v>
      </c>
      <c r="G286" t="s">
        <v>678</v>
      </c>
      <c r="H286">
        <v>243</v>
      </c>
      <c r="I286">
        <v>6253190243</v>
      </c>
      <c r="J286" t="s">
        <v>30</v>
      </c>
      <c r="K286" t="s">
        <v>699</v>
      </c>
      <c r="L286" t="s">
        <v>31</v>
      </c>
      <c r="M286" t="s">
        <v>31</v>
      </c>
      <c r="N286">
        <v>0</v>
      </c>
      <c r="O286" t="s">
        <v>31</v>
      </c>
      <c r="P286" t="s">
        <v>31</v>
      </c>
      <c r="Q286" t="s">
        <v>47</v>
      </c>
      <c r="R286" t="s">
        <v>31</v>
      </c>
      <c r="S286" t="s">
        <v>31</v>
      </c>
      <c r="T286">
        <v>0</v>
      </c>
      <c r="U286">
        <v>50</v>
      </c>
      <c r="V286" t="s">
        <v>31</v>
      </c>
      <c r="W286" t="s">
        <v>37</v>
      </c>
      <c r="X286" t="s">
        <v>39</v>
      </c>
      <c r="Y286">
        <v>0</v>
      </c>
      <c r="Z286" t="s">
        <v>49</v>
      </c>
      <c r="AA286">
        <v>0</v>
      </c>
    </row>
    <row r="287" spans="1:27" x14ac:dyDescent="0.25">
      <c r="A287">
        <v>287</v>
      </c>
      <c r="B287" t="s">
        <v>27</v>
      </c>
      <c r="C287">
        <v>808</v>
      </c>
      <c r="D287" t="s">
        <v>53</v>
      </c>
      <c r="E287">
        <v>5118230210060100</v>
      </c>
      <c r="F287">
        <v>5118230210060100</v>
      </c>
      <c r="G287" t="s">
        <v>700</v>
      </c>
      <c r="H287" t="s">
        <v>701</v>
      </c>
      <c r="I287" t="s">
        <v>31</v>
      </c>
      <c r="J287" t="s">
        <v>30</v>
      </c>
      <c r="K287" t="s">
        <v>680</v>
      </c>
      <c r="L287" t="s">
        <v>31</v>
      </c>
      <c r="M287" t="s">
        <v>31</v>
      </c>
      <c r="N287" t="s">
        <v>31</v>
      </c>
      <c r="O287" t="s">
        <v>31</v>
      </c>
      <c r="P287" t="s">
        <v>31</v>
      </c>
      <c r="Q287" t="s">
        <v>31</v>
      </c>
      <c r="R287" t="s">
        <v>31</v>
      </c>
      <c r="S287" t="s">
        <v>31</v>
      </c>
      <c r="T287">
        <v>0</v>
      </c>
      <c r="U287">
        <v>10</v>
      </c>
      <c r="V287" t="s">
        <v>31</v>
      </c>
      <c r="W287" t="s">
        <v>31</v>
      </c>
      <c r="X287" t="s">
        <v>31</v>
      </c>
      <c r="Y287" t="s">
        <v>31</v>
      </c>
      <c r="Z287" t="s">
        <v>31</v>
      </c>
      <c r="AA287">
        <v>0</v>
      </c>
    </row>
    <row r="288" spans="1:27" x14ac:dyDescent="0.25">
      <c r="A288">
        <v>288</v>
      </c>
      <c r="B288" t="s">
        <v>27</v>
      </c>
      <c r="C288">
        <v>474</v>
      </c>
      <c r="D288" t="s">
        <v>28</v>
      </c>
      <c r="E288">
        <v>5118230000033000</v>
      </c>
      <c r="F288">
        <v>5118230000033000</v>
      </c>
      <c r="G288" t="s">
        <v>702</v>
      </c>
      <c r="H288">
        <v>33</v>
      </c>
      <c r="I288">
        <v>6253050033</v>
      </c>
      <c r="J288" t="s">
        <v>30</v>
      </c>
      <c r="K288" t="s">
        <v>703</v>
      </c>
      <c r="L288" t="s">
        <v>31</v>
      </c>
      <c r="M288" t="s">
        <v>31</v>
      </c>
      <c r="N288">
        <v>0</v>
      </c>
      <c r="O288" t="s">
        <v>31</v>
      </c>
      <c r="P288" t="s">
        <v>602</v>
      </c>
      <c r="Q288" t="s">
        <v>47</v>
      </c>
      <c r="R288" t="s">
        <v>73</v>
      </c>
      <c r="S288" t="s">
        <v>73</v>
      </c>
      <c r="T288">
        <v>19</v>
      </c>
      <c r="U288">
        <v>70</v>
      </c>
      <c r="V288" t="s">
        <v>52</v>
      </c>
      <c r="W288" t="s">
        <v>52</v>
      </c>
      <c r="X288" t="s">
        <v>39</v>
      </c>
      <c r="Y288">
        <v>0</v>
      </c>
      <c r="Z288" t="s">
        <v>40</v>
      </c>
      <c r="AA288">
        <v>0</v>
      </c>
    </row>
    <row r="289" spans="1:27" x14ac:dyDescent="0.25">
      <c r="A289">
        <v>289</v>
      </c>
      <c r="B289" t="s">
        <v>27</v>
      </c>
      <c r="C289">
        <v>683</v>
      </c>
      <c r="D289" t="s">
        <v>53</v>
      </c>
      <c r="E289">
        <v>5118230000244000</v>
      </c>
      <c r="F289">
        <v>5118230000244000</v>
      </c>
      <c r="G289" t="s">
        <v>487</v>
      </c>
      <c r="H289">
        <v>244</v>
      </c>
      <c r="I289">
        <v>6253190244</v>
      </c>
      <c r="J289" t="s">
        <v>30</v>
      </c>
      <c r="K289" t="s">
        <v>704</v>
      </c>
      <c r="L289" t="s">
        <v>31</v>
      </c>
      <c r="M289" t="s">
        <v>31</v>
      </c>
      <c r="N289">
        <v>0</v>
      </c>
      <c r="O289" t="s">
        <v>31</v>
      </c>
      <c r="P289" t="s">
        <v>705</v>
      </c>
      <c r="Q289" t="s">
        <v>35</v>
      </c>
      <c r="R289" t="s">
        <v>61</v>
      </c>
      <c r="S289" t="s">
        <v>61</v>
      </c>
      <c r="T289">
        <v>62</v>
      </c>
      <c r="U289">
        <v>80</v>
      </c>
      <c r="V289" t="s">
        <v>37</v>
      </c>
      <c r="W289" t="s">
        <v>52</v>
      </c>
      <c r="X289" t="s">
        <v>39</v>
      </c>
      <c r="Y289">
        <v>0</v>
      </c>
      <c r="Z289" t="s">
        <v>40</v>
      </c>
      <c r="AA289">
        <v>0</v>
      </c>
    </row>
    <row r="290" spans="1:27" x14ac:dyDescent="0.25">
      <c r="A290">
        <v>290</v>
      </c>
      <c r="B290" t="s">
        <v>27</v>
      </c>
      <c r="C290">
        <v>689</v>
      </c>
      <c r="D290" t="s">
        <v>53</v>
      </c>
      <c r="E290">
        <v>5118230000250000</v>
      </c>
      <c r="F290">
        <v>5118230000250000</v>
      </c>
      <c r="G290" t="s">
        <v>697</v>
      </c>
      <c r="H290">
        <v>250</v>
      </c>
      <c r="I290">
        <v>6253190250</v>
      </c>
      <c r="J290" t="s">
        <v>30</v>
      </c>
      <c r="K290" t="s">
        <v>706</v>
      </c>
      <c r="L290" t="s">
        <v>31</v>
      </c>
      <c r="M290" t="s">
        <v>31</v>
      </c>
      <c r="N290">
        <v>0</v>
      </c>
      <c r="O290" t="s">
        <v>557</v>
      </c>
      <c r="P290" t="s">
        <v>509</v>
      </c>
      <c r="Q290" t="s">
        <v>47</v>
      </c>
      <c r="R290" t="s">
        <v>61</v>
      </c>
      <c r="S290" t="s">
        <v>61</v>
      </c>
      <c r="T290">
        <v>12</v>
      </c>
      <c r="U290">
        <v>7</v>
      </c>
      <c r="V290" t="s">
        <v>31</v>
      </c>
      <c r="W290" t="s">
        <v>52</v>
      </c>
      <c r="X290" t="s">
        <v>39</v>
      </c>
      <c r="Y290">
        <v>0</v>
      </c>
      <c r="Z290" t="s">
        <v>40</v>
      </c>
      <c r="AA290">
        <v>0</v>
      </c>
    </row>
    <row r="291" spans="1:27" x14ac:dyDescent="0.25">
      <c r="A291">
        <v>291</v>
      </c>
      <c r="B291" t="s">
        <v>27</v>
      </c>
      <c r="C291">
        <v>585</v>
      </c>
      <c r="D291" t="s">
        <v>53</v>
      </c>
      <c r="E291">
        <v>5118230000145000</v>
      </c>
      <c r="F291">
        <v>5118230000145000</v>
      </c>
      <c r="G291" t="s">
        <v>707</v>
      </c>
      <c r="H291">
        <v>145</v>
      </c>
      <c r="I291">
        <v>6253190145</v>
      </c>
      <c r="J291" t="s">
        <v>30</v>
      </c>
      <c r="K291" t="s">
        <v>708</v>
      </c>
      <c r="L291" t="s">
        <v>31</v>
      </c>
      <c r="M291" t="s">
        <v>31</v>
      </c>
      <c r="N291">
        <v>0</v>
      </c>
      <c r="O291" t="s">
        <v>31</v>
      </c>
      <c r="P291" t="s">
        <v>709</v>
      </c>
      <c r="Q291" t="s">
        <v>47</v>
      </c>
      <c r="R291" t="s">
        <v>61</v>
      </c>
      <c r="S291" t="s">
        <v>61</v>
      </c>
      <c r="T291">
        <v>43</v>
      </c>
      <c r="U291">
        <v>55</v>
      </c>
      <c r="V291" t="s">
        <v>31</v>
      </c>
      <c r="W291" t="s">
        <v>52</v>
      </c>
      <c r="X291" t="s">
        <v>160</v>
      </c>
      <c r="Y291">
        <v>0</v>
      </c>
      <c r="Z291" t="s">
        <v>40</v>
      </c>
      <c r="AA291">
        <v>3</v>
      </c>
    </row>
    <row r="292" spans="1:27" x14ac:dyDescent="0.25">
      <c r="A292">
        <v>292</v>
      </c>
      <c r="B292" t="s">
        <v>27</v>
      </c>
      <c r="C292">
        <v>690</v>
      </c>
      <c r="D292" t="s">
        <v>28</v>
      </c>
      <c r="E292">
        <v>5118230000251000</v>
      </c>
      <c r="F292">
        <v>5118230000251000</v>
      </c>
      <c r="G292" t="s">
        <v>710</v>
      </c>
      <c r="H292">
        <v>251</v>
      </c>
      <c r="I292">
        <v>6253190251</v>
      </c>
      <c r="J292" t="s">
        <v>30</v>
      </c>
      <c r="K292" t="s">
        <v>711</v>
      </c>
      <c r="L292" t="s">
        <v>31</v>
      </c>
      <c r="M292" t="s">
        <v>31</v>
      </c>
      <c r="N292">
        <v>0</v>
      </c>
      <c r="O292" t="s">
        <v>31</v>
      </c>
      <c r="P292" t="s">
        <v>712</v>
      </c>
      <c r="Q292" t="s">
        <v>47</v>
      </c>
      <c r="R292" t="s">
        <v>36</v>
      </c>
      <c r="S292" t="s">
        <v>36</v>
      </c>
      <c r="T292">
        <v>10</v>
      </c>
      <c r="U292">
        <v>15</v>
      </c>
      <c r="V292" t="s">
        <v>37</v>
      </c>
      <c r="W292" t="s">
        <v>52</v>
      </c>
      <c r="X292" t="s">
        <v>31</v>
      </c>
      <c r="Y292">
        <v>0</v>
      </c>
      <c r="Z292" t="s">
        <v>31</v>
      </c>
      <c r="AA292">
        <v>0</v>
      </c>
    </row>
    <row r="293" spans="1:27" x14ac:dyDescent="0.25">
      <c r="A293">
        <v>293</v>
      </c>
      <c r="B293" t="s">
        <v>27</v>
      </c>
      <c r="C293">
        <v>772</v>
      </c>
      <c r="D293" t="s">
        <v>53</v>
      </c>
      <c r="E293">
        <v>5118230130010100</v>
      </c>
      <c r="F293">
        <v>5118230130010100</v>
      </c>
      <c r="G293" t="s">
        <v>713</v>
      </c>
      <c r="H293" t="s">
        <v>714</v>
      </c>
      <c r="I293" t="s">
        <v>31</v>
      </c>
      <c r="J293" t="s">
        <v>30</v>
      </c>
      <c r="K293" t="s">
        <v>715</v>
      </c>
      <c r="L293" t="s">
        <v>31</v>
      </c>
      <c r="M293" t="s">
        <v>31</v>
      </c>
      <c r="N293" t="s">
        <v>31</v>
      </c>
      <c r="O293" t="s">
        <v>31</v>
      </c>
      <c r="P293" t="s">
        <v>31</v>
      </c>
      <c r="Q293" t="s">
        <v>31</v>
      </c>
      <c r="R293" t="s">
        <v>31</v>
      </c>
      <c r="S293" t="s">
        <v>31</v>
      </c>
      <c r="T293">
        <v>13</v>
      </c>
      <c r="U293">
        <v>25</v>
      </c>
      <c r="V293" t="s">
        <v>31</v>
      </c>
      <c r="W293" t="s">
        <v>31</v>
      </c>
      <c r="X293" t="s">
        <v>31</v>
      </c>
      <c r="Y293" t="s">
        <v>31</v>
      </c>
      <c r="Z293" t="s">
        <v>31</v>
      </c>
      <c r="AA293">
        <v>0</v>
      </c>
    </row>
    <row r="294" spans="1:27" x14ac:dyDescent="0.25">
      <c r="A294">
        <v>294</v>
      </c>
      <c r="B294" t="s">
        <v>27</v>
      </c>
      <c r="C294">
        <v>807</v>
      </c>
      <c r="D294" t="s">
        <v>53</v>
      </c>
      <c r="E294">
        <v>5118230210050100</v>
      </c>
      <c r="F294">
        <v>5118230210050100</v>
      </c>
      <c r="G294" t="s">
        <v>716</v>
      </c>
      <c r="H294" t="s">
        <v>717</v>
      </c>
      <c r="I294" t="s">
        <v>31</v>
      </c>
      <c r="J294" t="s">
        <v>30</v>
      </c>
      <c r="K294" t="s">
        <v>680</v>
      </c>
      <c r="L294" t="s">
        <v>31</v>
      </c>
      <c r="M294" t="s">
        <v>31</v>
      </c>
      <c r="N294" t="s">
        <v>31</v>
      </c>
      <c r="O294" t="s">
        <v>31</v>
      </c>
      <c r="P294" t="s">
        <v>31</v>
      </c>
      <c r="Q294" t="s">
        <v>31</v>
      </c>
      <c r="R294" t="s">
        <v>31</v>
      </c>
      <c r="S294" t="s">
        <v>31</v>
      </c>
      <c r="T294">
        <v>342</v>
      </c>
      <c r="U294">
        <v>436</v>
      </c>
      <c r="V294" t="s">
        <v>31</v>
      </c>
      <c r="W294" t="s">
        <v>31</v>
      </c>
      <c r="X294" t="s">
        <v>31</v>
      </c>
      <c r="Y294" t="s">
        <v>31</v>
      </c>
      <c r="Z294" t="s">
        <v>31</v>
      </c>
      <c r="AA294">
        <v>0</v>
      </c>
    </row>
    <row r="295" spans="1:27" x14ac:dyDescent="0.25">
      <c r="A295">
        <v>295</v>
      </c>
      <c r="B295" t="s">
        <v>27</v>
      </c>
      <c r="C295">
        <v>801</v>
      </c>
      <c r="D295" t="s">
        <v>53</v>
      </c>
      <c r="E295">
        <v>5118230210000100</v>
      </c>
      <c r="F295">
        <v>5118230210000100</v>
      </c>
      <c r="G295" t="s">
        <v>668</v>
      </c>
      <c r="H295" t="s">
        <v>718</v>
      </c>
      <c r="I295" t="s">
        <v>31</v>
      </c>
      <c r="J295" t="s">
        <v>30</v>
      </c>
      <c r="K295" t="s">
        <v>667</v>
      </c>
      <c r="L295" t="s">
        <v>31</v>
      </c>
      <c r="M295" t="s">
        <v>31</v>
      </c>
      <c r="N295" t="s">
        <v>31</v>
      </c>
      <c r="O295" t="s">
        <v>31</v>
      </c>
      <c r="P295" t="s">
        <v>31</v>
      </c>
      <c r="Q295" t="s">
        <v>31</v>
      </c>
      <c r="R295" t="s">
        <v>31</v>
      </c>
      <c r="S295" t="s">
        <v>31</v>
      </c>
      <c r="T295">
        <v>125</v>
      </c>
      <c r="U295">
        <v>160</v>
      </c>
      <c r="V295" t="s">
        <v>31</v>
      </c>
      <c r="W295" t="s">
        <v>31</v>
      </c>
      <c r="X295" t="s">
        <v>31</v>
      </c>
      <c r="Y295" t="s">
        <v>31</v>
      </c>
      <c r="Z295" t="s">
        <v>31</v>
      </c>
      <c r="AA295">
        <v>0</v>
      </c>
    </row>
    <row r="296" spans="1:27" x14ac:dyDescent="0.25">
      <c r="A296">
        <v>296</v>
      </c>
      <c r="B296" t="s">
        <v>27</v>
      </c>
      <c r="C296">
        <v>691</v>
      </c>
      <c r="D296" t="s">
        <v>53</v>
      </c>
      <c r="E296">
        <v>5118230000252000</v>
      </c>
      <c r="F296">
        <v>5118230000252000</v>
      </c>
      <c r="G296" t="s">
        <v>719</v>
      </c>
      <c r="H296">
        <v>252</v>
      </c>
      <c r="I296">
        <v>6253220252</v>
      </c>
      <c r="J296" t="s">
        <v>30</v>
      </c>
      <c r="K296" t="s">
        <v>720</v>
      </c>
      <c r="L296" t="s">
        <v>31</v>
      </c>
      <c r="M296" t="s">
        <v>31</v>
      </c>
      <c r="N296">
        <v>0</v>
      </c>
      <c r="O296" t="s">
        <v>67</v>
      </c>
      <c r="P296" t="s">
        <v>509</v>
      </c>
      <c r="Q296" t="s">
        <v>47</v>
      </c>
      <c r="R296" t="s">
        <v>61</v>
      </c>
      <c r="S296" t="s">
        <v>61</v>
      </c>
      <c r="T296">
        <v>420</v>
      </c>
      <c r="U296">
        <v>925</v>
      </c>
      <c r="V296" t="s">
        <v>37</v>
      </c>
      <c r="W296" t="s">
        <v>38</v>
      </c>
      <c r="X296" t="s">
        <v>85</v>
      </c>
      <c r="Y296">
        <v>0</v>
      </c>
      <c r="Z296" t="s">
        <v>40</v>
      </c>
      <c r="AA296">
        <v>3</v>
      </c>
    </row>
    <row r="297" spans="1:27" x14ac:dyDescent="0.25">
      <c r="A297">
        <v>297</v>
      </c>
      <c r="B297" t="s">
        <v>27</v>
      </c>
      <c r="C297">
        <v>687</v>
      </c>
      <c r="D297" t="s">
        <v>499</v>
      </c>
      <c r="E297">
        <v>5118230000248000</v>
      </c>
      <c r="F297">
        <v>5118230000248000</v>
      </c>
      <c r="G297" t="s">
        <v>721</v>
      </c>
      <c r="H297">
        <v>248</v>
      </c>
      <c r="I297">
        <v>6253190248</v>
      </c>
      <c r="J297" t="s">
        <v>30</v>
      </c>
      <c r="K297" t="s">
        <v>722</v>
      </c>
      <c r="L297" t="s">
        <v>31</v>
      </c>
      <c r="M297" t="s">
        <v>31</v>
      </c>
      <c r="N297">
        <v>0</v>
      </c>
      <c r="O297" t="s">
        <v>31</v>
      </c>
      <c r="P297" t="s">
        <v>509</v>
      </c>
      <c r="Q297" t="s">
        <v>47</v>
      </c>
      <c r="R297" t="s">
        <v>61</v>
      </c>
      <c r="S297" t="s">
        <v>61</v>
      </c>
      <c r="T297">
        <v>61</v>
      </c>
      <c r="U297">
        <v>100</v>
      </c>
      <c r="V297" t="s">
        <v>31</v>
      </c>
      <c r="W297" t="s">
        <v>52</v>
      </c>
      <c r="X297" t="s">
        <v>115</v>
      </c>
      <c r="Y297">
        <v>0</v>
      </c>
      <c r="Z297" t="s">
        <v>496</v>
      </c>
      <c r="AA297">
        <v>0</v>
      </c>
    </row>
    <row r="298" spans="1:27" x14ac:dyDescent="0.25">
      <c r="A298">
        <v>298</v>
      </c>
      <c r="B298" t="s">
        <v>27</v>
      </c>
      <c r="C298">
        <v>804</v>
      </c>
      <c r="D298" t="s">
        <v>53</v>
      </c>
      <c r="E298">
        <v>5118230210020100</v>
      </c>
      <c r="F298">
        <v>5118230210020100</v>
      </c>
      <c r="G298" t="s">
        <v>487</v>
      </c>
      <c r="H298" t="s">
        <v>723</v>
      </c>
      <c r="I298" t="s">
        <v>31</v>
      </c>
      <c r="J298" t="s">
        <v>30</v>
      </c>
      <c r="K298" t="s">
        <v>696</v>
      </c>
      <c r="L298" t="s">
        <v>31</v>
      </c>
      <c r="M298" t="s">
        <v>31</v>
      </c>
      <c r="N298" t="s">
        <v>31</v>
      </c>
      <c r="O298" t="s">
        <v>31</v>
      </c>
      <c r="P298" t="s">
        <v>31</v>
      </c>
      <c r="Q298" t="s">
        <v>31</v>
      </c>
      <c r="R298" t="s">
        <v>31</v>
      </c>
      <c r="S298" t="s">
        <v>31</v>
      </c>
      <c r="T298">
        <v>65</v>
      </c>
      <c r="U298">
        <v>79</v>
      </c>
      <c r="V298" t="s">
        <v>31</v>
      </c>
      <c r="W298" t="s">
        <v>31</v>
      </c>
      <c r="X298" t="s">
        <v>31</v>
      </c>
      <c r="Y298" t="s">
        <v>31</v>
      </c>
      <c r="Z298" t="s">
        <v>31</v>
      </c>
      <c r="AA298">
        <v>0</v>
      </c>
    </row>
    <row r="299" spans="1:27" x14ac:dyDescent="0.25">
      <c r="A299">
        <v>299</v>
      </c>
      <c r="B299" t="s">
        <v>27</v>
      </c>
      <c r="C299">
        <v>771</v>
      </c>
      <c r="D299" t="s">
        <v>53</v>
      </c>
      <c r="E299">
        <v>5118230130000100</v>
      </c>
      <c r="F299">
        <v>5118230130000100</v>
      </c>
      <c r="G299" t="s">
        <v>724</v>
      </c>
      <c r="H299" t="s">
        <v>725</v>
      </c>
      <c r="I299" t="s">
        <v>31</v>
      </c>
      <c r="J299" t="s">
        <v>30</v>
      </c>
      <c r="K299" t="s">
        <v>726</v>
      </c>
      <c r="L299" t="s">
        <v>31</v>
      </c>
      <c r="M299" t="s">
        <v>31</v>
      </c>
      <c r="N299" t="s">
        <v>31</v>
      </c>
      <c r="O299" t="s">
        <v>31</v>
      </c>
      <c r="P299" t="s">
        <v>31</v>
      </c>
      <c r="Q299" t="s">
        <v>31</v>
      </c>
      <c r="R299" t="s">
        <v>31</v>
      </c>
      <c r="S299" t="s">
        <v>31</v>
      </c>
      <c r="T299">
        <v>54</v>
      </c>
      <c r="U299">
        <v>95</v>
      </c>
      <c r="V299" t="s">
        <v>31</v>
      </c>
      <c r="W299" t="s">
        <v>31</v>
      </c>
      <c r="X299" t="s">
        <v>31</v>
      </c>
      <c r="Y299" t="s">
        <v>31</v>
      </c>
      <c r="Z299" t="s">
        <v>31</v>
      </c>
      <c r="AA299">
        <v>0</v>
      </c>
    </row>
    <row r="300" spans="1:27" x14ac:dyDescent="0.25">
      <c r="A300">
        <v>300</v>
      </c>
      <c r="B300" t="s">
        <v>27</v>
      </c>
      <c r="C300">
        <v>664</v>
      </c>
      <c r="D300" t="s">
        <v>53</v>
      </c>
      <c r="E300">
        <v>5118230000225000</v>
      </c>
      <c r="F300">
        <v>5118230000225000</v>
      </c>
      <c r="G300" t="s">
        <v>727</v>
      </c>
      <c r="H300">
        <v>225</v>
      </c>
      <c r="I300">
        <v>6253240225</v>
      </c>
      <c r="J300" t="s">
        <v>30</v>
      </c>
      <c r="K300" t="s">
        <v>728</v>
      </c>
      <c r="L300" t="s">
        <v>31</v>
      </c>
      <c r="M300" t="s">
        <v>31</v>
      </c>
      <c r="N300">
        <v>0</v>
      </c>
      <c r="O300" t="s">
        <v>59</v>
      </c>
      <c r="P300" t="s">
        <v>729</v>
      </c>
      <c r="Q300" t="s">
        <v>47</v>
      </c>
      <c r="R300" t="s">
        <v>31</v>
      </c>
      <c r="S300" t="s">
        <v>31</v>
      </c>
      <c r="T300">
        <v>85</v>
      </c>
      <c r="U300">
        <v>200</v>
      </c>
      <c r="V300" t="s">
        <v>52</v>
      </c>
      <c r="W300" t="s">
        <v>52</v>
      </c>
      <c r="X300" t="s">
        <v>39</v>
      </c>
      <c r="Y300">
        <v>0</v>
      </c>
      <c r="Z300" t="s">
        <v>40</v>
      </c>
      <c r="AA300">
        <v>0</v>
      </c>
    </row>
    <row r="301" spans="1:27" x14ac:dyDescent="0.25">
      <c r="A301">
        <v>301</v>
      </c>
      <c r="B301" t="s">
        <v>27</v>
      </c>
      <c r="C301">
        <v>788</v>
      </c>
      <c r="D301" t="s">
        <v>53</v>
      </c>
      <c r="E301">
        <v>5118230180020100</v>
      </c>
      <c r="F301">
        <v>5118230180020100</v>
      </c>
      <c r="G301" t="s">
        <v>730</v>
      </c>
      <c r="H301" t="s">
        <v>731</v>
      </c>
      <c r="I301" t="s">
        <v>31</v>
      </c>
      <c r="J301" t="s">
        <v>30</v>
      </c>
      <c r="K301" t="s">
        <v>732</v>
      </c>
      <c r="L301" t="s">
        <v>31</v>
      </c>
      <c r="M301" t="s">
        <v>31</v>
      </c>
      <c r="N301" t="s">
        <v>31</v>
      </c>
      <c r="O301" t="s">
        <v>31</v>
      </c>
      <c r="P301" t="s">
        <v>31</v>
      </c>
      <c r="Q301" t="s">
        <v>31</v>
      </c>
      <c r="R301" t="s">
        <v>31</v>
      </c>
      <c r="S301" t="s">
        <v>31</v>
      </c>
      <c r="T301">
        <v>7</v>
      </c>
      <c r="U301">
        <v>10</v>
      </c>
      <c r="V301" t="s">
        <v>31</v>
      </c>
      <c r="W301" t="s">
        <v>31</v>
      </c>
      <c r="X301" t="s">
        <v>31</v>
      </c>
      <c r="Y301" t="s">
        <v>31</v>
      </c>
      <c r="Z301" t="s">
        <v>31</v>
      </c>
      <c r="AA301">
        <v>0</v>
      </c>
    </row>
    <row r="302" spans="1:27" x14ac:dyDescent="0.25">
      <c r="A302">
        <v>302</v>
      </c>
      <c r="B302" t="s">
        <v>27</v>
      </c>
      <c r="C302">
        <v>668</v>
      </c>
      <c r="D302" t="s">
        <v>53</v>
      </c>
      <c r="E302">
        <v>5118230000229000</v>
      </c>
      <c r="F302">
        <v>5118230000229000</v>
      </c>
      <c r="G302" t="s">
        <v>733</v>
      </c>
      <c r="H302">
        <v>229</v>
      </c>
      <c r="I302">
        <v>6253240229</v>
      </c>
      <c r="J302" t="s">
        <v>30</v>
      </c>
      <c r="K302" t="s">
        <v>734</v>
      </c>
      <c r="L302" t="s">
        <v>31</v>
      </c>
      <c r="M302" t="s">
        <v>31</v>
      </c>
      <c r="N302">
        <v>0</v>
      </c>
      <c r="O302" t="s">
        <v>59</v>
      </c>
      <c r="P302" t="s">
        <v>735</v>
      </c>
      <c r="Q302" t="s">
        <v>47</v>
      </c>
      <c r="R302" t="s">
        <v>61</v>
      </c>
      <c r="S302" t="s">
        <v>61</v>
      </c>
      <c r="T302">
        <v>142</v>
      </c>
      <c r="U302">
        <v>500</v>
      </c>
      <c r="V302" t="s">
        <v>31</v>
      </c>
      <c r="W302" t="s">
        <v>38</v>
      </c>
      <c r="X302" t="s">
        <v>39</v>
      </c>
      <c r="Y302">
        <v>0</v>
      </c>
      <c r="Z302" t="s">
        <v>40</v>
      </c>
      <c r="AA302">
        <v>0</v>
      </c>
    </row>
    <row r="303" spans="1:27" x14ac:dyDescent="0.25">
      <c r="A303">
        <v>303</v>
      </c>
      <c r="B303" t="s">
        <v>27</v>
      </c>
      <c r="C303">
        <v>787</v>
      </c>
      <c r="D303" t="s">
        <v>53</v>
      </c>
      <c r="E303">
        <v>5118230180010100</v>
      </c>
      <c r="F303">
        <v>5118230180010100</v>
      </c>
      <c r="G303" t="s">
        <v>736</v>
      </c>
      <c r="H303" t="s">
        <v>737</v>
      </c>
      <c r="I303" t="s">
        <v>31</v>
      </c>
      <c r="J303" t="s">
        <v>30</v>
      </c>
      <c r="K303" t="s">
        <v>738</v>
      </c>
      <c r="L303" t="s">
        <v>31</v>
      </c>
      <c r="M303" t="s">
        <v>31</v>
      </c>
      <c r="N303" t="s">
        <v>31</v>
      </c>
      <c r="O303" t="s">
        <v>31</v>
      </c>
      <c r="P303" t="s">
        <v>31</v>
      </c>
      <c r="Q303" t="s">
        <v>31</v>
      </c>
      <c r="R303" t="s">
        <v>31</v>
      </c>
      <c r="S303" t="s">
        <v>31</v>
      </c>
      <c r="T303">
        <v>130</v>
      </c>
      <c r="U303">
        <v>370</v>
      </c>
      <c r="V303" t="s">
        <v>31</v>
      </c>
      <c r="W303" t="s">
        <v>31</v>
      </c>
      <c r="X303" t="s">
        <v>31</v>
      </c>
      <c r="Y303" t="s">
        <v>31</v>
      </c>
      <c r="Z303" t="s">
        <v>31</v>
      </c>
      <c r="AA303">
        <v>0</v>
      </c>
    </row>
    <row r="304" spans="1:27" x14ac:dyDescent="0.25">
      <c r="A304">
        <v>304</v>
      </c>
      <c r="B304" t="s">
        <v>27</v>
      </c>
      <c r="C304">
        <v>667</v>
      </c>
      <c r="D304" t="s">
        <v>53</v>
      </c>
      <c r="E304">
        <v>5118230000228000</v>
      </c>
      <c r="F304">
        <v>5118230000228000</v>
      </c>
      <c r="G304" t="s">
        <v>739</v>
      </c>
      <c r="H304">
        <v>228</v>
      </c>
      <c r="I304">
        <v>6253240228</v>
      </c>
      <c r="J304" t="s">
        <v>30</v>
      </c>
      <c r="K304" t="s">
        <v>740</v>
      </c>
      <c r="L304" t="s">
        <v>31</v>
      </c>
      <c r="M304" t="s">
        <v>31</v>
      </c>
      <c r="N304">
        <v>0</v>
      </c>
      <c r="O304" t="s">
        <v>59</v>
      </c>
      <c r="P304" t="s">
        <v>735</v>
      </c>
      <c r="Q304" t="s">
        <v>47</v>
      </c>
      <c r="R304" t="s">
        <v>61</v>
      </c>
      <c r="S304" t="s">
        <v>61</v>
      </c>
      <c r="T304">
        <v>50</v>
      </c>
      <c r="U304">
        <v>120</v>
      </c>
      <c r="V304" t="s">
        <v>31</v>
      </c>
      <c r="W304" t="s">
        <v>52</v>
      </c>
      <c r="X304" t="s">
        <v>39</v>
      </c>
      <c r="Y304">
        <v>0</v>
      </c>
      <c r="Z304" t="s">
        <v>40</v>
      </c>
      <c r="AA304">
        <v>0</v>
      </c>
    </row>
    <row r="305" spans="1:27" x14ac:dyDescent="0.25">
      <c r="A305">
        <v>305</v>
      </c>
      <c r="B305" t="s">
        <v>27</v>
      </c>
      <c r="C305">
        <v>786</v>
      </c>
      <c r="D305" t="s">
        <v>53</v>
      </c>
      <c r="E305">
        <v>5118230180000100</v>
      </c>
      <c r="F305">
        <v>5118230180000100</v>
      </c>
      <c r="G305" t="s">
        <v>739</v>
      </c>
      <c r="H305" t="s">
        <v>741</v>
      </c>
      <c r="I305" t="s">
        <v>31</v>
      </c>
      <c r="J305" t="s">
        <v>30</v>
      </c>
      <c r="K305" t="s">
        <v>738</v>
      </c>
      <c r="L305" t="s">
        <v>31</v>
      </c>
      <c r="M305" t="s">
        <v>31</v>
      </c>
      <c r="N305" t="s">
        <v>31</v>
      </c>
      <c r="O305" t="s">
        <v>31</v>
      </c>
      <c r="P305" t="s">
        <v>31</v>
      </c>
      <c r="Q305" t="s">
        <v>31</v>
      </c>
      <c r="R305" t="s">
        <v>31</v>
      </c>
      <c r="S305" t="s">
        <v>31</v>
      </c>
      <c r="T305">
        <v>50</v>
      </c>
      <c r="U305">
        <v>63</v>
      </c>
      <c r="V305" t="s">
        <v>31</v>
      </c>
      <c r="W305" t="s">
        <v>31</v>
      </c>
      <c r="X305" t="s">
        <v>31</v>
      </c>
      <c r="Y305" t="s">
        <v>31</v>
      </c>
      <c r="Z305" t="s">
        <v>31</v>
      </c>
      <c r="AA305">
        <v>0</v>
      </c>
    </row>
    <row r="306" spans="1:27" x14ac:dyDescent="0.25">
      <c r="A306">
        <v>306</v>
      </c>
      <c r="B306" t="s">
        <v>27</v>
      </c>
      <c r="C306">
        <v>789</v>
      </c>
      <c r="D306" t="s">
        <v>53</v>
      </c>
      <c r="E306">
        <v>5118230180030100</v>
      </c>
      <c r="F306">
        <v>5118230180030100</v>
      </c>
      <c r="G306" t="s">
        <v>742</v>
      </c>
      <c r="H306" t="s">
        <v>743</v>
      </c>
      <c r="I306" t="s">
        <v>31</v>
      </c>
      <c r="J306" t="s">
        <v>30</v>
      </c>
      <c r="K306" t="s">
        <v>744</v>
      </c>
      <c r="L306" t="s">
        <v>31</v>
      </c>
      <c r="M306" t="s">
        <v>31</v>
      </c>
      <c r="N306" t="s">
        <v>31</v>
      </c>
      <c r="O306" t="s">
        <v>31</v>
      </c>
      <c r="P306" t="s">
        <v>31</v>
      </c>
      <c r="Q306" t="s">
        <v>31</v>
      </c>
      <c r="R306" t="s">
        <v>31</v>
      </c>
      <c r="S306" t="s">
        <v>31</v>
      </c>
      <c r="T306">
        <v>5</v>
      </c>
      <c r="U306">
        <v>17</v>
      </c>
      <c r="V306" t="s">
        <v>31</v>
      </c>
      <c r="W306" t="s">
        <v>31</v>
      </c>
      <c r="X306" t="s">
        <v>31</v>
      </c>
      <c r="Y306" t="s">
        <v>31</v>
      </c>
      <c r="Z306" t="s">
        <v>31</v>
      </c>
      <c r="AA306">
        <v>0</v>
      </c>
    </row>
    <row r="307" spans="1:27" x14ac:dyDescent="0.25">
      <c r="A307">
        <v>307</v>
      </c>
      <c r="B307" t="s">
        <v>27</v>
      </c>
      <c r="C307">
        <v>933</v>
      </c>
      <c r="D307" t="s">
        <v>53</v>
      </c>
      <c r="E307">
        <v>5118232060030100</v>
      </c>
      <c r="F307">
        <v>5118232060030100</v>
      </c>
      <c r="G307" t="s">
        <v>742</v>
      </c>
      <c r="H307" t="s">
        <v>743</v>
      </c>
      <c r="I307" t="s">
        <v>31</v>
      </c>
      <c r="J307" t="s">
        <v>30</v>
      </c>
      <c r="K307" t="s">
        <v>744</v>
      </c>
      <c r="L307" t="s">
        <v>31</v>
      </c>
      <c r="M307" t="s">
        <v>31</v>
      </c>
      <c r="N307" t="s">
        <v>31</v>
      </c>
      <c r="O307" t="s">
        <v>31</v>
      </c>
      <c r="P307" t="s">
        <v>31</v>
      </c>
      <c r="Q307" t="s">
        <v>31</v>
      </c>
      <c r="R307" t="s">
        <v>31</v>
      </c>
      <c r="S307" t="s">
        <v>31</v>
      </c>
      <c r="T307">
        <v>5</v>
      </c>
      <c r="U307">
        <v>17</v>
      </c>
      <c r="V307" t="s">
        <v>31</v>
      </c>
      <c r="W307" t="s">
        <v>31</v>
      </c>
      <c r="X307" t="s">
        <v>31</v>
      </c>
      <c r="Y307" t="s">
        <v>31</v>
      </c>
      <c r="Z307" t="s">
        <v>31</v>
      </c>
      <c r="AA307">
        <v>0</v>
      </c>
    </row>
    <row r="308" spans="1:27" x14ac:dyDescent="0.25">
      <c r="A308">
        <v>308</v>
      </c>
      <c r="B308" t="s">
        <v>27</v>
      </c>
      <c r="C308">
        <v>665</v>
      </c>
      <c r="D308" t="s">
        <v>53</v>
      </c>
      <c r="E308">
        <v>5118230000226000</v>
      </c>
      <c r="F308">
        <v>5118230000226000</v>
      </c>
      <c r="G308" t="s">
        <v>745</v>
      </c>
      <c r="H308">
        <v>226</v>
      </c>
      <c r="I308">
        <v>6253240226</v>
      </c>
      <c r="J308" t="s">
        <v>30</v>
      </c>
      <c r="K308" t="s">
        <v>746</v>
      </c>
      <c r="L308" t="s">
        <v>31</v>
      </c>
      <c r="M308" t="s">
        <v>31</v>
      </c>
      <c r="N308">
        <v>0</v>
      </c>
      <c r="O308" t="s">
        <v>59</v>
      </c>
      <c r="P308" t="s">
        <v>735</v>
      </c>
      <c r="Q308" t="s">
        <v>47</v>
      </c>
      <c r="R308" t="s">
        <v>61</v>
      </c>
      <c r="S308" t="s">
        <v>31</v>
      </c>
      <c r="T308">
        <v>38</v>
      </c>
      <c r="U308">
        <v>180</v>
      </c>
      <c r="V308" t="s">
        <v>31</v>
      </c>
      <c r="W308" t="s">
        <v>52</v>
      </c>
      <c r="X308" t="s">
        <v>85</v>
      </c>
      <c r="Y308">
        <v>0</v>
      </c>
      <c r="Z308" t="s">
        <v>40</v>
      </c>
      <c r="AA308">
        <v>0</v>
      </c>
    </row>
    <row r="309" spans="1:27" x14ac:dyDescent="0.25">
      <c r="A309">
        <v>309</v>
      </c>
      <c r="B309" t="s">
        <v>27</v>
      </c>
      <c r="C309">
        <v>790</v>
      </c>
      <c r="D309" t="s">
        <v>53</v>
      </c>
      <c r="E309">
        <v>5118230180040100</v>
      </c>
      <c r="F309">
        <v>5118230180040100</v>
      </c>
      <c r="G309" t="s">
        <v>747</v>
      </c>
      <c r="H309" t="s">
        <v>748</v>
      </c>
      <c r="I309" t="s">
        <v>31</v>
      </c>
      <c r="J309" t="s">
        <v>30</v>
      </c>
      <c r="K309" t="s">
        <v>744</v>
      </c>
      <c r="L309" t="s">
        <v>31</v>
      </c>
      <c r="M309" t="s">
        <v>31</v>
      </c>
      <c r="N309" t="s">
        <v>31</v>
      </c>
      <c r="O309" t="s">
        <v>31</v>
      </c>
      <c r="P309" t="s">
        <v>31</v>
      </c>
      <c r="Q309" t="s">
        <v>31</v>
      </c>
      <c r="R309" t="s">
        <v>31</v>
      </c>
      <c r="S309" t="s">
        <v>31</v>
      </c>
      <c r="T309">
        <v>45</v>
      </c>
      <c r="U309">
        <v>59</v>
      </c>
      <c r="V309" t="s">
        <v>31</v>
      </c>
      <c r="W309" t="s">
        <v>31</v>
      </c>
      <c r="X309" t="s">
        <v>31</v>
      </c>
      <c r="Y309" t="s">
        <v>31</v>
      </c>
      <c r="Z309" t="s">
        <v>31</v>
      </c>
      <c r="AA309">
        <v>0</v>
      </c>
    </row>
    <row r="310" spans="1:27" x14ac:dyDescent="0.25">
      <c r="A310">
        <v>310</v>
      </c>
      <c r="B310" t="s">
        <v>27</v>
      </c>
      <c r="C310">
        <v>666</v>
      </c>
      <c r="D310" t="s">
        <v>53</v>
      </c>
      <c r="E310">
        <v>5118230000227000</v>
      </c>
      <c r="F310">
        <v>5118230000227000</v>
      </c>
      <c r="G310" t="s">
        <v>742</v>
      </c>
      <c r="H310">
        <v>227</v>
      </c>
      <c r="I310">
        <v>6253240227</v>
      </c>
      <c r="J310" t="s">
        <v>30</v>
      </c>
      <c r="K310" t="s">
        <v>749</v>
      </c>
      <c r="L310" t="s">
        <v>31</v>
      </c>
      <c r="M310" t="s">
        <v>31</v>
      </c>
      <c r="N310">
        <v>0</v>
      </c>
      <c r="O310" t="s">
        <v>557</v>
      </c>
      <c r="P310" t="s">
        <v>735</v>
      </c>
      <c r="Q310" t="s">
        <v>47</v>
      </c>
      <c r="R310" t="s">
        <v>61</v>
      </c>
      <c r="S310" t="s">
        <v>61</v>
      </c>
      <c r="T310">
        <v>3</v>
      </c>
      <c r="U310">
        <v>5</v>
      </c>
      <c r="V310" t="s">
        <v>31</v>
      </c>
      <c r="W310" t="s">
        <v>37</v>
      </c>
      <c r="X310" t="s">
        <v>39</v>
      </c>
      <c r="Y310">
        <v>0</v>
      </c>
      <c r="Z310" t="s">
        <v>40</v>
      </c>
      <c r="AA310">
        <v>0</v>
      </c>
    </row>
    <row r="311" spans="1:27" x14ac:dyDescent="0.25">
      <c r="A311">
        <v>311</v>
      </c>
      <c r="B311" t="s">
        <v>27</v>
      </c>
      <c r="C311">
        <v>799</v>
      </c>
      <c r="D311" t="s">
        <v>53</v>
      </c>
      <c r="E311">
        <v>5118230200020100</v>
      </c>
      <c r="F311">
        <v>5118230200020100</v>
      </c>
      <c r="G311" t="s">
        <v>750</v>
      </c>
      <c r="H311" t="s">
        <v>751</v>
      </c>
      <c r="I311" t="s">
        <v>31</v>
      </c>
      <c r="J311" t="s">
        <v>30</v>
      </c>
      <c r="K311" t="s">
        <v>752</v>
      </c>
      <c r="L311" t="s">
        <v>31</v>
      </c>
      <c r="M311" t="s">
        <v>31</v>
      </c>
      <c r="N311" t="s">
        <v>31</v>
      </c>
      <c r="O311" t="s">
        <v>31</v>
      </c>
      <c r="P311" t="s">
        <v>31</v>
      </c>
      <c r="Q311" t="s">
        <v>31</v>
      </c>
      <c r="R311" t="s">
        <v>31</v>
      </c>
      <c r="S311" t="s">
        <v>31</v>
      </c>
      <c r="T311">
        <v>6</v>
      </c>
      <c r="U311">
        <v>13</v>
      </c>
      <c r="V311" t="s">
        <v>31</v>
      </c>
      <c r="W311" t="s">
        <v>31</v>
      </c>
      <c r="X311" t="s">
        <v>31</v>
      </c>
      <c r="Y311" t="s">
        <v>31</v>
      </c>
      <c r="Z311" t="s">
        <v>31</v>
      </c>
      <c r="AA311">
        <v>0</v>
      </c>
    </row>
    <row r="312" spans="1:27" x14ac:dyDescent="0.25">
      <c r="A312">
        <v>312</v>
      </c>
      <c r="B312" t="s">
        <v>27</v>
      </c>
      <c r="C312">
        <v>676</v>
      </c>
      <c r="D312" t="s">
        <v>53</v>
      </c>
      <c r="E312">
        <v>5118230000237000</v>
      </c>
      <c r="F312">
        <v>5118230000237000</v>
      </c>
      <c r="G312" t="s">
        <v>753</v>
      </c>
      <c r="H312">
        <v>237</v>
      </c>
      <c r="I312">
        <v>6253170237</v>
      </c>
      <c r="J312" t="s">
        <v>30</v>
      </c>
      <c r="K312" t="s">
        <v>754</v>
      </c>
      <c r="L312" t="s">
        <v>31</v>
      </c>
      <c r="M312" t="s">
        <v>31</v>
      </c>
      <c r="N312">
        <v>0</v>
      </c>
      <c r="O312" t="s">
        <v>59</v>
      </c>
      <c r="P312" t="s">
        <v>705</v>
      </c>
      <c r="Q312" t="s">
        <v>47</v>
      </c>
      <c r="R312" t="s">
        <v>61</v>
      </c>
      <c r="S312" t="s">
        <v>31</v>
      </c>
      <c r="T312">
        <v>63</v>
      </c>
      <c r="U312">
        <v>80</v>
      </c>
      <c r="V312" t="s">
        <v>52</v>
      </c>
      <c r="W312" t="s">
        <v>52</v>
      </c>
      <c r="X312" t="s">
        <v>39</v>
      </c>
      <c r="Y312">
        <v>0</v>
      </c>
      <c r="Z312" t="s">
        <v>755</v>
      </c>
      <c r="AA312">
        <v>0</v>
      </c>
    </row>
    <row r="313" spans="1:27" x14ac:dyDescent="0.25">
      <c r="A313">
        <v>313</v>
      </c>
      <c r="B313" t="s">
        <v>27</v>
      </c>
      <c r="C313">
        <v>794</v>
      </c>
      <c r="D313" t="s">
        <v>53</v>
      </c>
      <c r="E313">
        <v>5118230190010100</v>
      </c>
      <c r="F313">
        <v>5118230190010100</v>
      </c>
      <c r="G313" t="s">
        <v>753</v>
      </c>
      <c r="H313" t="s">
        <v>756</v>
      </c>
      <c r="I313" t="s">
        <v>31</v>
      </c>
      <c r="J313" t="s">
        <v>30</v>
      </c>
      <c r="K313" t="s">
        <v>757</v>
      </c>
      <c r="L313" t="s">
        <v>31</v>
      </c>
      <c r="M313" t="s">
        <v>31</v>
      </c>
      <c r="N313" t="s">
        <v>31</v>
      </c>
      <c r="O313" t="s">
        <v>31</v>
      </c>
      <c r="P313" t="s">
        <v>31</v>
      </c>
      <c r="Q313" t="s">
        <v>31</v>
      </c>
      <c r="R313" t="s">
        <v>31</v>
      </c>
      <c r="S313" t="s">
        <v>31</v>
      </c>
      <c r="T313">
        <v>61</v>
      </c>
      <c r="U313">
        <v>75</v>
      </c>
      <c r="V313" t="s">
        <v>31</v>
      </c>
      <c r="W313" t="s">
        <v>31</v>
      </c>
      <c r="X313" t="s">
        <v>31</v>
      </c>
      <c r="Y313" t="s">
        <v>31</v>
      </c>
      <c r="Z313" t="s">
        <v>31</v>
      </c>
      <c r="AA313">
        <v>0</v>
      </c>
    </row>
    <row r="314" spans="1:27" x14ac:dyDescent="0.25">
      <c r="A314">
        <v>314</v>
      </c>
      <c r="B314" t="s">
        <v>27</v>
      </c>
      <c r="C314">
        <v>663</v>
      </c>
      <c r="D314" t="s">
        <v>28</v>
      </c>
      <c r="E314">
        <v>5118230000224000</v>
      </c>
      <c r="F314">
        <v>5118230000224000</v>
      </c>
      <c r="G314" t="s">
        <v>758</v>
      </c>
      <c r="H314">
        <v>224</v>
      </c>
      <c r="I314">
        <v>6253240224</v>
      </c>
      <c r="J314" t="s">
        <v>30</v>
      </c>
      <c r="K314" t="s">
        <v>759</v>
      </c>
      <c r="L314" t="s">
        <v>31</v>
      </c>
      <c r="M314" t="s">
        <v>31</v>
      </c>
      <c r="N314">
        <v>0</v>
      </c>
      <c r="O314" t="s">
        <v>33</v>
      </c>
      <c r="P314" t="s">
        <v>631</v>
      </c>
      <c r="Q314" t="s">
        <v>47</v>
      </c>
      <c r="R314" t="s">
        <v>36</v>
      </c>
      <c r="S314" t="s">
        <v>36</v>
      </c>
      <c r="T314">
        <v>0</v>
      </c>
      <c r="U314">
        <v>10</v>
      </c>
      <c r="V314" t="s">
        <v>38</v>
      </c>
      <c r="W314" t="s">
        <v>37</v>
      </c>
      <c r="X314" t="s">
        <v>39</v>
      </c>
      <c r="Y314">
        <v>0</v>
      </c>
      <c r="Z314" t="s">
        <v>40</v>
      </c>
      <c r="AA314">
        <v>0</v>
      </c>
    </row>
    <row r="315" spans="1:27" x14ac:dyDescent="0.25">
      <c r="A315">
        <v>315</v>
      </c>
      <c r="B315" t="s">
        <v>27</v>
      </c>
      <c r="C315">
        <v>677</v>
      </c>
      <c r="D315" t="s">
        <v>53</v>
      </c>
      <c r="E315">
        <v>5118230000238000</v>
      </c>
      <c r="F315">
        <v>5118230000238000</v>
      </c>
      <c r="G315" t="s">
        <v>760</v>
      </c>
      <c r="H315">
        <v>238</v>
      </c>
      <c r="I315">
        <v>6253170238</v>
      </c>
      <c r="J315" t="s">
        <v>30</v>
      </c>
      <c r="K315" t="s">
        <v>761</v>
      </c>
      <c r="L315" t="s">
        <v>31</v>
      </c>
      <c r="M315" t="s">
        <v>31</v>
      </c>
      <c r="N315">
        <v>0</v>
      </c>
      <c r="O315" t="s">
        <v>59</v>
      </c>
      <c r="P315" t="s">
        <v>705</v>
      </c>
      <c r="Q315" t="s">
        <v>35</v>
      </c>
      <c r="R315" t="s">
        <v>61</v>
      </c>
      <c r="S315" t="s">
        <v>31</v>
      </c>
      <c r="T315">
        <v>156</v>
      </c>
      <c r="U315">
        <v>230</v>
      </c>
      <c r="V315" t="s">
        <v>31</v>
      </c>
      <c r="W315" t="s">
        <v>38</v>
      </c>
      <c r="X315" t="s">
        <v>85</v>
      </c>
      <c r="Y315">
        <v>0</v>
      </c>
      <c r="Z315" t="s">
        <v>166</v>
      </c>
      <c r="AA315">
        <v>0</v>
      </c>
    </row>
    <row r="316" spans="1:27" x14ac:dyDescent="0.25">
      <c r="A316">
        <v>316</v>
      </c>
      <c r="B316" t="s">
        <v>27</v>
      </c>
      <c r="C316">
        <v>791</v>
      </c>
      <c r="D316" t="s">
        <v>53</v>
      </c>
      <c r="E316">
        <v>5118230190000100</v>
      </c>
      <c r="F316">
        <v>5118230190000100</v>
      </c>
      <c r="G316" t="s">
        <v>760</v>
      </c>
      <c r="H316" t="s">
        <v>762</v>
      </c>
      <c r="I316" t="s">
        <v>31</v>
      </c>
      <c r="J316" t="s">
        <v>30</v>
      </c>
      <c r="K316" t="s">
        <v>763</v>
      </c>
      <c r="L316" t="s">
        <v>31</v>
      </c>
      <c r="M316" t="s">
        <v>31</v>
      </c>
      <c r="N316" t="s">
        <v>31</v>
      </c>
      <c r="O316" t="s">
        <v>31</v>
      </c>
      <c r="P316" t="s">
        <v>31</v>
      </c>
      <c r="Q316" t="s">
        <v>31</v>
      </c>
      <c r="R316" t="s">
        <v>31</v>
      </c>
      <c r="S316" t="s">
        <v>31</v>
      </c>
      <c r="T316">
        <v>10</v>
      </c>
      <c r="U316">
        <v>16</v>
      </c>
      <c r="V316" t="s">
        <v>31</v>
      </c>
      <c r="W316" t="s">
        <v>31</v>
      </c>
      <c r="X316" t="s">
        <v>31</v>
      </c>
      <c r="Y316" t="s">
        <v>31</v>
      </c>
      <c r="Z316" t="s">
        <v>31</v>
      </c>
      <c r="AA316">
        <v>0</v>
      </c>
    </row>
    <row r="317" spans="1:27" x14ac:dyDescent="0.25">
      <c r="A317">
        <v>317</v>
      </c>
      <c r="B317" t="s">
        <v>27</v>
      </c>
      <c r="C317">
        <v>678</v>
      </c>
      <c r="D317" t="s">
        <v>28</v>
      </c>
      <c r="E317">
        <v>5118230000239000</v>
      </c>
      <c r="F317">
        <v>5118230000239000</v>
      </c>
      <c r="G317" t="s">
        <v>764</v>
      </c>
      <c r="H317">
        <v>239</v>
      </c>
      <c r="I317">
        <v>6253170239</v>
      </c>
      <c r="J317" t="s">
        <v>30</v>
      </c>
      <c r="K317" t="s">
        <v>765</v>
      </c>
      <c r="L317" t="s">
        <v>31</v>
      </c>
      <c r="M317" t="s">
        <v>31</v>
      </c>
      <c r="N317">
        <v>0</v>
      </c>
      <c r="O317" t="s">
        <v>59</v>
      </c>
      <c r="P317" t="s">
        <v>766</v>
      </c>
      <c r="Q317" t="s">
        <v>35</v>
      </c>
      <c r="R317" t="s">
        <v>36</v>
      </c>
      <c r="S317" t="s">
        <v>36</v>
      </c>
      <c r="T317">
        <v>64</v>
      </c>
      <c r="U317">
        <v>85</v>
      </c>
      <c r="V317" t="s">
        <v>37</v>
      </c>
      <c r="W317" t="s">
        <v>52</v>
      </c>
      <c r="X317" t="s">
        <v>39</v>
      </c>
      <c r="Y317">
        <v>0</v>
      </c>
      <c r="Z317" t="s">
        <v>40</v>
      </c>
      <c r="AA317">
        <v>0</v>
      </c>
    </row>
    <row r="318" spans="1:27" x14ac:dyDescent="0.25">
      <c r="A318">
        <v>318</v>
      </c>
      <c r="B318" t="s">
        <v>27</v>
      </c>
      <c r="C318">
        <v>792</v>
      </c>
      <c r="D318" t="s">
        <v>28</v>
      </c>
      <c r="E318">
        <v>5118230190000100</v>
      </c>
      <c r="F318">
        <v>5118230190000100</v>
      </c>
      <c r="G318" t="s">
        <v>767</v>
      </c>
      <c r="H318" t="s">
        <v>768</v>
      </c>
      <c r="I318" t="s">
        <v>31</v>
      </c>
      <c r="J318" t="s">
        <v>30</v>
      </c>
      <c r="K318" t="s">
        <v>769</v>
      </c>
      <c r="L318" t="s">
        <v>31</v>
      </c>
      <c r="M318" t="s">
        <v>31</v>
      </c>
      <c r="N318" t="s">
        <v>31</v>
      </c>
      <c r="O318" t="s">
        <v>31</v>
      </c>
      <c r="P318" t="s">
        <v>31</v>
      </c>
      <c r="Q318" t="s">
        <v>31</v>
      </c>
      <c r="R318" t="s">
        <v>31</v>
      </c>
      <c r="S318" t="s">
        <v>31</v>
      </c>
      <c r="T318">
        <v>65</v>
      </c>
      <c r="U318">
        <v>78</v>
      </c>
      <c r="V318" t="s">
        <v>31</v>
      </c>
      <c r="W318" t="s">
        <v>31</v>
      </c>
      <c r="X318" t="s">
        <v>31</v>
      </c>
      <c r="Y318" t="s">
        <v>31</v>
      </c>
      <c r="Z318" t="s">
        <v>31</v>
      </c>
      <c r="AA318">
        <v>0</v>
      </c>
    </row>
    <row r="319" spans="1:27" x14ac:dyDescent="0.25">
      <c r="A319">
        <v>319</v>
      </c>
      <c r="B319" t="s">
        <v>27</v>
      </c>
      <c r="C319">
        <v>800</v>
      </c>
      <c r="D319" t="s">
        <v>53</v>
      </c>
      <c r="E319">
        <v>5118230200030100</v>
      </c>
      <c r="F319">
        <v>5118230200030100</v>
      </c>
      <c r="G319" t="s">
        <v>770</v>
      </c>
      <c r="H319" t="s">
        <v>771</v>
      </c>
      <c r="I319" t="s">
        <v>31</v>
      </c>
      <c r="J319" t="s">
        <v>30</v>
      </c>
      <c r="K319" t="s">
        <v>752</v>
      </c>
      <c r="L319" t="s">
        <v>31</v>
      </c>
      <c r="M319" t="s">
        <v>31</v>
      </c>
      <c r="N319" t="s">
        <v>31</v>
      </c>
      <c r="O319" t="s">
        <v>31</v>
      </c>
      <c r="P319" t="s">
        <v>31</v>
      </c>
      <c r="Q319" t="s">
        <v>31</v>
      </c>
      <c r="R319" t="s">
        <v>31</v>
      </c>
      <c r="S319" t="s">
        <v>31</v>
      </c>
      <c r="T319">
        <v>4</v>
      </c>
      <c r="U319">
        <v>9</v>
      </c>
      <c r="V319" t="s">
        <v>31</v>
      </c>
      <c r="W319" t="s">
        <v>31</v>
      </c>
      <c r="X319" t="s">
        <v>31</v>
      </c>
      <c r="Y319" t="s">
        <v>31</v>
      </c>
      <c r="Z319" t="s">
        <v>31</v>
      </c>
      <c r="AA319">
        <v>0</v>
      </c>
    </row>
    <row r="320" spans="1:27" x14ac:dyDescent="0.25">
      <c r="A320">
        <v>320</v>
      </c>
      <c r="B320" t="s">
        <v>27</v>
      </c>
      <c r="C320">
        <v>931</v>
      </c>
      <c r="D320" t="s">
        <v>53</v>
      </c>
      <c r="E320">
        <v>5118230450020100</v>
      </c>
      <c r="F320">
        <v>5118230450020100</v>
      </c>
      <c r="G320" t="s">
        <v>772</v>
      </c>
      <c r="H320" t="s">
        <v>773</v>
      </c>
      <c r="I320" t="s">
        <v>31</v>
      </c>
      <c r="J320" t="s">
        <v>30</v>
      </c>
      <c r="K320" t="s">
        <v>774</v>
      </c>
      <c r="L320" t="s">
        <v>31</v>
      </c>
      <c r="M320" t="s">
        <v>31</v>
      </c>
      <c r="N320" t="s">
        <v>31</v>
      </c>
      <c r="O320" t="s">
        <v>31</v>
      </c>
      <c r="P320" t="s">
        <v>31</v>
      </c>
      <c r="Q320" t="s">
        <v>31</v>
      </c>
      <c r="R320" t="s">
        <v>31</v>
      </c>
      <c r="S320" t="s">
        <v>31</v>
      </c>
      <c r="T320">
        <v>7</v>
      </c>
      <c r="U320">
        <v>13</v>
      </c>
      <c r="V320" t="s">
        <v>31</v>
      </c>
      <c r="W320" t="s">
        <v>31</v>
      </c>
      <c r="X320" t="s">
        <v>31</v>
      </c>
      <c r="Y320" t="s">
        <v>31</v>
      </c>
      <c r="Z320" t="s">
        <v>31</v>
      </c>
      <c r="AA320">
        <v>0</v>
      </c>
    </row>
    <row r="321" spans="1:27" x14ac:dyDescent="0.25">
      <c r="A321">
        <v>321</v>
      </c>
      <c r="B321" t="s">
        <v>27</v>
      </c>
      <c r="C321">
        <v>600</v>
      </c>
      <c r="D321" t="s">
        <v>53</v>
      </c>
      <c r="E321">
        <v>5118230000160000</v>
      </c>
      <c r="F321">
        <v>5118230000160000</v>
      </c>
      <c r="G321" t="s">
        <v>775</v>
      </c>
      <c r="H321">
        <v>160</v>
      </c>
      <c r="I321">
        <v>6253250160</v>
      </c>
      <c r="J321" t="s">
        <v>30</v>
      </c>
      <c r="K321" t="s">
        <v>776</v>
      </c>
      <c r="L321" t="s">
        <v>31</v>
      </c>
      <c r="M321" t="s">
        <v>31</v>
      </c>
      <c r="N321">
        <v>0</v>
      </c>
      <c r="O321" t="s">
        <v>59</v>
      </c>
      <c r="P321" t="s">
        <v>777</v>
      </c>
      <c r="Q321" t="s">
        <v>35</v>
      </c>
      <c r="R321" t="s">
        <v>61</v>
      </c>
      <c r="S321" t="s">
        <v>31</v>
      </c>
      <c r="T321">
        <v>7</v>
      </c>
      <c r="U321">
        <v>20</v>
      </c>
      <c r="V321" t="s">
        <v>31</v>
      </c>
      <c r="W321" t="s">
        <v>37</v>
      </c>
      <c r="X321" t="s">
        <v>39</v>
      </c>
      <c r="Y321">
        <v>0</v>
      </c>
      <c r="Z321" t="s">
        <v>40</v>
      </c>
      <c r="AA321">
        <v>8</v>
      </c>
    </row>
    <row r="322" spans="1:27" x14ac:dyDescent="0.25">
      <c r="A322">
        <v>322</v>
      </c>
      <c r="B322" t="s">
        <v>27</v>
      </c>
      <c r="C322">
        <v>621</v>
      </c>
      <c r="D322" t="s">
        <v>53</v>
      </c>
      <c r="E322">
        <v>5118230000181000</v>
      </c>
      <c r="F322">
        <v>5118230000181000</v>
      </c>
      <c r="G322" t="s">
        <v>778</v>
      </c>
      <c r="H322">
        <v>181</v>
      </c>
      <c r="I322">
        <v>6253280181</v>
      </c>
      <c r="J322" t="s">
        <v>30</v>
      </c>
      <c r="K322" t="s">
        <v>779</v>
      </c>
      <c r="L322" t="s">
        <v>31</v>
      </c>
      <c r="M322" t="s">
        <v>31</v>
      </c>
      <c r="N322">
        <v>0</v>
      </c>
      <c r="O322" t="s">
        <v>59</v>
      </c>
      <c r="P322" t="s">
        <v>31</v>
      </c>
      <c r="Q322" t="s">
        <v>35</v>
      </c>
      <c r="R322" t="s">
        <v>61</v>
      </c>
      <c r="S322" t="s">
        <v>31</v>
      </c>
      <c r="T322">
        <v>7</v>
      </c>
      <c r="U322">
        <v>10</v>
      </c>
      <c r="V322" t="s">
        <v>52</v>
      </c>
      <c r="W322" t="s">
        <v>37</v>
      </c>
      <c r="X322" t="s">
        <v>85</v>
      </c>
      <c r="Y322">
        <v>0</v>
      </c>
      <c r="Z322" t="s">
        <v>40</v>
      </c>
      <c r="AA322">
        <v>0</v>
      </c>
    </row>
    <row r="323" spans="1:27" x14ac:dyDescent="0.25">
      <c r="A323">
        <v>323</v>
      </c>
      <c r="B323" t="s">
        <v>27</v>
      </c>
      <c r="C323">
        <v>674</v>
      </c>
      <c r="D323" t="s">
        <v>53</v>
      </c>
      <c r="E323">
        <v>5118230000235000</v>
      </c>
      <c r="F323">
        <v>5118230000235000</v>
      </c>
      <c r="G323" t="s">
        <v>780</v>
      </c>
      <c r="H323">
        <v>235</v>
      </c>
      <c r="I323">
        <v>6253180235</v>
      </c>
      <c r="J323" t="s">
        <v>30</v>
      </c>
      <c r="K323" t="s">
        <v>781</v>
      </c>
      <c r="L323" t="s">
        <v>31</v>
      </c>
      <c r="M323" t="s">
        <v>31</v>
      </c>
      <c r="N323">
        <v>0</v>
      </c>
      <c r="O323" t="s">
        <v>59</v>
      </c>
      <c r="P323" t="s">
        <v>705</v>
      </c>
      <c r="Q323" t="s">
        <v>47</v>
      </c>
      <c r="R323" t="s">
        <v>61</v>
      </c>
      <c r="S323" t="s">
        <v>61</v>
      </c>
      <c r="T323">
        <v>500</v>
      </c>
      <c r="U323">
        <v>800</v>
      </c>
      <c r="V323" t="s">
        <v>37</v>
      </c>
      <c r="W323" t="s">
        <v>38</v>
      </c>
      <c r="X323" t="s">
        <v>421</v>
      </c>
      <c r="Y323">
        <v>0</v>
      </c>
      <c r="Z323" t="s">
        <v>40</v>
      </c>
      <c r="AA323">
        <v>10</v>
      </c>
    </row>
    <row r="324" spans="1:27" x14ac:dyDescent="0.25">
      <c r="A324">
        <v>324</v>
      </c>
      <c r="B324" t="s">
        <v>27</v>
      </c>
      <c r="C324">
        <v>675</v>
      </c>
      <c r="D324" t="s">
        <v>41</v>
      </c>
      <c r="E324">
        <v>5118230000236000</v>
      </c>
      <c r="F324">
        <v>5118230000236000</v>
      </c>
      <c r="G324" t="s">
        <v>782</v>
      </c>
      <c r="H324">
        <v>236</v>
      </c>
      <c r="I324">
        <v>6253170236</v>
      </c>
      <c r="J324" t="s">
        <v>30</v>
      </c>
      <c r="K324" t="s">
        <v>783</v>
      </c>
      <c r="L324" t="s">
        <v>31</v>
      </c>
      <c r="M324" t="s">
        <v>31</v>
      </c>
      <c r="N324">
        <v>0</v>
      </c>
      <c r="O324" t="s">
        <v>31</v>
      </c>
      <c r="P324" t="s">
        <v>31</v>
      </c>
      <c r="Q324" t="s">
        <v>35</v>
      </c>
      <c r="R324" t="s">
        <v>31</v>
      </c>
      <c r="S324" t="s">
        <v>31</v>
      </c>
      <c r="T324">
        <v>450</v>
      </c>
      <c r="U324">
        <v>500</v>
      </c>
      <c r="V324" t="s">
        <v>31</v>
      </c>
      <c r="W324" t="s">
        <v>38</v>
      </c>
      <c r="X324" t="s">
        <v>411</v>
      </c>
      <c r="Y324">
        <v>0</v>
      </c>
      <c r="Z324" t="s">
        <v>49</v>
      </c>
      <c r="AA324">
        <v>0</v>
      </c>
    </row>
    <row r="325" spans="1:27" x14ac:dyDescent="0.25">
      <c r="A325">
        <v>325</v>
      </c>
      <c r="B325" t="s">
        <v>27</v>
      </c>
      <c r="C325">
        <v>796</v>
      </c>
      <c r="D325" t="s">
        <v>41</v>
      </c>
      <c r="E325">
        <v>5118230190020100</v>
      </c>
      <c r="F325">
        <v>5118230190020100</v>
      </c>
      <c r="G325" t="s">
        <v>782</v>
      </c>
      <c r="H325" t="s">
        <v>784</v>
      </c>
      <c r="I325" t="s">
        <v>31</v>
      </c>
      <c r="J325" t="s">
        <v>30</v>
      </c>
      <c r="K325" t="s">
        <v>785</v>
      </c>
      <c r="L325" t="s">
        <v>31</v>
      </c>
      <c r="M325" t="s">
        <v>31</v>
      </c>
      <c r="N325" t="s">
        <v>31</v>
      </c>
      <c r="O325" t="s">
        <v>31</v>
      </c>
      <c r="P325" t="s">
        <v>31</v>
      </c>
      <c r="Q325" t="s">
        <v>31</v>
      </c>
      <c r="R325" t="s">
        <v>31</v>
      </c>
      <c r="S325" t="s">
        <v>31</v>
      </c>
      <c r="T325">
        <v>35</v>
      </c>
      <c r="U325">
        <v>48</v>
      </c>
      <c r="V325" t="s">
        <v>31</v>
      </c>
      <c r="W325" t="s">
        <v>31</v>
      </c>
      <c r="X325" t="s">
        <v>31</v>
      </c>
      <c r="Y325" t="s">
        <v>31</v>
      </c>
      <c r="Z325" t="s">
        <v>31</v>
      </c>
      <c r="AA325">
        <v>0</v>
      </c>
    </row>
    <row r="326" spans="1:27" x14ac:dyDescent="0.25">
      <c r="A326">
        <v>326</v>
      </c>
      <c r="B326" t="s">
        <v>27</v>
      </c>
      <c r="C326">
        <v>778</v>
      </c>
      <c r="D326" t="s">
        <v>53</v>
      </c>
      <c r="E326">
        <v>5118230140040100</v>
      </c>
      <c r="F326">
        <v>5118230140040100</v>
      </c>
      <c r="G326" t="s">
        <v>786</v>
      </c>
      <c r="H326" t="s">
        <v>787</v>
      </c>
      <c r="I326" t="s">
        <v>31</v>
      </c>
      <c r="J326" t="s">
        <v>30</v>
      </c>
      <c r="K326" t="s">
        <v>788</v>
      </c>
      <c r="L326" t="s">
        <v>31</v>
      </c>
      <c r="M326" t="s">
        <v>31</v>
      </c>
      <c r="N326" t="s">
        <v>31</v>
      </c>
      <c r="O326" t="s">
        <v>31</v>
      </c>
      <c r="P326" t="s">
        <v>31</v>
      </c>
      <c r="Q326" t="s">
        <v>31</v>
      </c>
      <c r="R326" t="s">
        <v>31</v>
      </c>
      <c r="S326" t="s">
        <v>31</v>
      </c>
      <c r="T326">
        <v>435</v>
      </c>
      <c r="U326">
        <v>565</v>
      </c>
      <c r="V326" t="s">
        <v>31</v>
      </c>
      <c r="W326" t="s">
        <v>31</v>
      </c>
      <c r="X326" t="s">
        <v>31</v>
      </c>
      <c r="Y326" t="s">
        <v>31</v>
      </c>
      <c r="Z326" t="s">
        <v>31</v>
      </c>
      <c r="AA326">
        <v>0</v>
      </c>
    </row>
    <row r="327" spans="1:27" x14ac:dyDescent="0.25">
      <c r="A327">
        <v>327</v>
      </c>
      <c r="B327" t="s">
        <v>27</v>
      </c>
      <c r="C327">
        <v>930</v>
      </c>
      <c r="D327" t="s">
        <v>53</v>
      </c>
      <c r="E327">
        <v>5118230450010100</v>
      </c>
      <c r="F327">
        <v>5118230450010100</v>
      </c>
      <c r="G327" t="s">
        <v>778</v>
      </c>
      <c r="H327" t="s">
        <v>789</v>
      </c>
      <c r="I327" t="s">
        <v>31</v>
      </c>
      <c r="J327" t="s">
        <v>30</v>
      </c>
      <c r="K327" t="s">
        <v>774</v>
      </c>
      <c r="L327" t="s">
        <v>31</v>
      </c>
      <c r="M327" t="s">
        <v>31</v>
      </c>
      <c r="N327" t="s">
        <v>31</v>
      </c>
      <c r="O327" t="s">
        <v>31</v>
      </c>
      <c r="P327" t="s">
        <v>31</v>
      </c>
      <c r="Q327" t="s">
        <v>31</v>
      </c>
      <c r="R327" t="s">
        <v>31</v>
      </c>
      <c r="S327" t="s">
        <v>31</v>
      </c>
      <c r="T327">
        <v>21</v>
      </c>
      <c r="U327">
        <v>30</v>
      </c>
      <c r="V327" t="s">
        <v>31</v>
      </c>
      <c r="W327" t="s">
        <v>31</v>
      </c>
      <c r="X327" t="s">
        <v>31</v>
      </c>
      <c r="Y327" t="s">
        <v>31</v>
      </c>
      <c r="Z327" t="s">
        <v>31</v>
      </c>
      <c r="AA327">
        <v>0</v>
      </c>
    </row>
    <row r="328" spans="1:27" x14ac:dyDescent="0.25">
      <c r="A328">
        <v>328</v>
      </c>
      <c r="B328" t="s">
        <v>27</v>
      </c>
      <c r="C328">
        <v>670</v>
      </c>
      <c r="D328" t="s">
        <v>53</v>
      </c>
      <c r="E328">
        <v>5118230000231000</v>
      </c>
      <c r="F328">
        <v>5118230000231000</v>
      </c>
      <c r="G328" t="s">
        <v>790</v>
      </c>
      <c r="H328">
        <v>231</v>
      </c>
      <c r="I328">
        <v>6253230231</v>
      </c>
      <c r="J328" t="s">
        <v>30</v>
      </c>
      <c r="K328" t="s">
        <v>791</v>
      </c>
      <c r="L328" t="s">
        <v>31</v>
      </c>
      <c r="M328" t="s">
        <v>31</v>
      </c>
      <c r="N328">
        <v>0</v>
      </c>
      <c r="O328" t="s">
        <v>557</v>
      </c>
      <c r="P328" t="s">
        <v>735</v>
      </c>
      <c r="Q328" t="s">
        <v>35</v>
      </c>
      <c r="R328" t="s">
        <v>61</v>
      </c>
      <c r="S328" t="s">
        <v>61</v>
      </c>
      <c r="T328">
        <v>68</v>
      </c>
      <c r="U328">
        <v>70</v>
      </c>
      <c r="V328" t="s">
        <v>37</v>
      </c>
      <c r="W328" t="s">
        <v>52</v>
      </c>
      <c r="X328" t="s">
        <v>39</v>
      </c>
      <c r="Y328">
        <v>0</v>
      </c>
      <c r="Z328" t="s">
        <v>40</v>
      </c>
      <c r="AA328">
        <v>0</v>
      </c>
    </row>
    <row r="329" spans="1:27" x14ac:dyDescent="0.25">
      <c r="A329">
        <v>329</v>
      </c>
      <c r="B329" t="s">
        <v>27</v>
      </c>
      <c r="C329">
        <v>797</v>
      </c>
      <c r="D329" t="s">
        <v>53</v>
      </c>
      <c r="E329">
        <v>5118230200000100</v>
      </c>
      <c r="F329">
        <v>5118230200000100</v>
      </c>
      <c r="G329" t="s">
        <v>792</v>
      </c>
      <c r="H329" t="s">
        <v>793</v>
      </c>
      <c r="I329" t="s">
        <v>31</v>
      </c>
      <c r="J329" t="s">
        <v>30</v>
      </c>
      <c r="K329" t="s">
        <v>794</v>
      </c>
      <c r="L329" t="s">
        <v>31</v>
      </c>
      <c r="M329" t="s">
        <v>31</v>
      </c>
      <c r="N329" t="s">
        <v>31</v>
      </c>
      <c r="O329" t="s">
        <v>31</v>
      </c>
      <c r="P329" t="s">
        <v>31</v>
      </c>
      <c r="Q329" t="s">
        <v>31</v>
      </c>
      <c r="R329" t="s">
        <v>31</v>
      </c>
      <c r="S329" t="s">
        <v>31</v>
      </c>
      <c r="T329">
        <v>84</v>
      </c>
      <c r="U329">
        <v>127</v>
      </c>
      <c r="V329" t="s">
        <v>31</v>
      </c>
      <c r="W329" t="s">
        <v>31</v>
      </c>
      <c r="X329" t="s">
        <v>31</v>
      </c>
      <c r="Y329" t="s">
        <v>31</v>
      </c>
      <c r="Z329" t="s">
        <v>31</v>
      </c>
      <c r="AA329">
        <v>0</v>
      </c>
    </row>
    <row r="330" spans="1:27" x14ac:dyDescent="0.25">
      <c r="A330">
        <v>330</v>
      </c>
      <c r="B330" t="s">
        <v>27</v>
      </c>
      <c r="C330">
        <v>669</v>
      </c>
      <c r="D330" t="s">
        <v>53</v>
      </c>
      <c r="E330">
        <v>5118230000230000</v>
      </c>
      <c r="F330">
        <v>5118230000230000</v>
      </c>
      <c r="G330" t="s">
        <v>795</v>
      </c>
      <c r="H330">
        <v>230</v>
      </c>
      <c r="I330">
        <v>6253230230</v>
      </c>
      <c r="J330" t="s">
        <v>30</v>
      </c>
      <c r="K330" t="s">
        <v>796</v>
      </c>
      <c r="L330" t="s">
        <v>31</v>
      </c>
      <c r="M330" t="s">
        <v>31</v>
      </c>
      <c r="N330">
        <v>0</v>
      </c>
      <c r="O330" t="s">
        <v>59</v>
      </c>
      <c r="P330" t="s">
        <v>735</v>
      </c>
      <c r="Q330" t="s">
        <v>47</v>
      </c>
      <c r="R330" t="s">
        <v>61</v>
      </c>
      <c r="S330" t="s">
        <v>31</v>
      </c>
      <c r="T330">
        <v>120</v>
      </c>
      <c r="U330">
        <v>110</v>
      </c>
      <c r="V330" t="s">
        <v>31</v>
      </c>
      <c r="W330" t="s">
        <v>38</v>
      </c>
      <c r="X330" t="s">
        <v>421</v>
      </c>
      <c r="Y330">
        <v>0</v>
      </c>
      <c r="Z330" t="s">
        <v>343</v>
      </c>
      <c r="AA330">
        <v>0</v>
      </c>
    </row>
    <row r="331" spans="1:27" x14ac:dyDescent="0.25">
      <c r="A331">
        <v>331</v>
      </c>
      <c r="B331" t="s">
        <v>27</v>
      </c>
      <c r="C331">
        <v>798</v>
      </c>
      <c r="D331" t="s">
        <v>53</v>
      </c>
      <c r="E331">
        <v>5118230200010100</v>
      </c>
      <c r="F331">
        <v>5118230200010100</v>
      </c>
      <c r="G331" t="s">
        <v>797</v>
      </c>
      <c r="H331" t="s">
        <v>798</v>
      </c>
      <c r="I331" t="s">
        <v>31</v>
      </c>
      <c r="J331" t="s">
        <v>30</v>
      </c>
      <c r="K331" t="s">
        <v>799</v>
      </c>
      <c r="L331" t="s">
        <v>31</v>
      </c>
      <c r="M331" t="s">
        <v>31</v>
      </c>
      <c r="N331" t="s">
        <v>31</v>
      </c>
      <c r="O331" t="s">
        <v>31</v>
      </c>
      <c r="P331" t="s">
        <v>31</v>
      </c>
      <c r="Q331" t="s">
        <v>31</v>
      </c>
      <c r="R331" t="s">
        <v>31</v>
      </c>
      <c r="S331" t="s">
        <v>31</v>
      </c>
      <c r="T331">
        <v>36</v>
      </c>
      <c r="U331">
        <v>44</v>
      </c>
      <c r="V331" t="s">
        <v>31</v>
      </c>
      <c r="W331" t="s">
        <v>31</v>
      </c>
      <c r="X331" t="s">
        <v>31</v>
      </c>
      <c r="Y331" t="s">
        <v>31</v>
      </c>
      <c r="Z331" t="s">
        <v>31</v>
      </c>
      <c r="AA331">
        <v>0</v>
      </c>
    </row>
    <row r="332" spans="1:27" x14ac:dyDescent="0.25">
      <c r="A332">
        <v>332</v>
      </c>
      <c r="B332" t="s">
        <v>27</v>
      </c>
      <c r="C332">
        <v>636</v>
      </c>
      <c r="D332" t="s">
        <v>53</v>
      </c>
      <c r="E332">
        <v>5118230000196000</v>
      </c>
      <c r="F332">
        <v>5118230000196000</v>
      </c>
      <c r="G332" t="s">
        <v>800</v>
      </c>
      <c r="H332">
        <v>196</v>
      </c>
      <c r="I332">
        <v>6253270195</v>
      </c>
      <c r="J332" t="s">
        <v>30</v>
      </c>
      <c r="K332" t="s">
        <v>801</v>
      </c>
      <c r="L332" t="s">
        <v>31</v>
      </c>
      <c r="M332" t="s">
        <v>31</v>
      </c>
      <c r="N332">
        <v>0</v>
      </c>
      <c r="O332" t="s">
        <v>557</v>
      </c>
      <c r="P332" t="s">
        <v>802</v>
      </c>
      <c r="Q332" t="s">
        <v>47</v>
      </c>
      <c r="R332" t="s">
        <v>61</v>
      </c>
      <c r="S332" t="s">
        <v>61</v>
      </c>
      <c r="T332">
        <v>12</v>
      </c>
      <c r="U332">
        <v>20</v>
      </c>
      <c r="V332" t="s">
        <v>37</v>
      </c>
      <c r="W332" t="s">
        <v>52</v>
      </c>
      <c r="X332" t="s">
        <v>39</v>
      </c>
      <c r="Y332">
        <v>0</v>
      </c>
      <c r="Z332" t="s">
        <v>40</v>
      </c>
      <c r="AA332">
        <v>0</v>
      </c>
    </row>
    <row r="333" spans="1:27" x14ac:dyDescent="0.25">
      <c r="A333">
        <v>333</v>
      </c>
      <c r="B333" t="s">
        <v>27</v>
      </c>
      <c r="C333">
        <v>635</v>
      </c>
      <c r="D333" t="s">
        <v>53</v>
      </c>
      <c r="E333">
        <v>5118230000195000</v>
      </c>
      <c r="F333">
        <v>5118230000195000</v>
      </c>
      <c r="G333" t="s">
        <v>803</v>
      </c>
      <c r="H333">
        <v>195</v>
      </c>
      <c r="I333">
        <v>6253270196</v>
      </c>
      <c r="J333" t="s">
        <v>30</v>
      </c>
      <c r="K333" t="s">
        <v>801</v>
      </c>
      <c r="L333" t="s">
        <v>31</v>
      </c>
      <c r="M333" t="s">
        <v>31</v>
      </c>
      <c r="N333">
        <v>0</v>
      </c>
      <c r="O333" t="s">
        <v>557</v>
      </c>
      <c r="P333" t="s">
        <v>802</v>
      </c>
      <c r="Q333" t="s">
        <v>47</v>
      </c>
      <c r="R333" t="s">
        <v>61</v>
      </c>
      <c r="S333" t="s">
        <v>31</v>
      </c>
      <c r="T333">
        <v>13</v>
      </c>
      <c r="U333">
        <v>10</v>
      </c>
      <c r="V333" t="s">
        <v>31</v>
      </c>
      <c r="W333" t="s">
        <v>52</v>
      </c>
      <c r="X333" t="s">
        <v>85</v>
      </c>
      <c r="Y333">
        <v>0</v>
      </c>
      <c r="Z333" t="s">
        <v>166</v>
      </c>
      <c r="AA333">
        <v>0</v>
      </c>
    </row>
    <row r="334" spans="1:27" x14ac:dyDescent="0.25">
      <c r="A334">
        <v>334</v>
      </c>
      <c r="B334" t="s">
        <v>27</v>
      </c>
      <c r="C334">
        <v>927</v>
      </c>
      <c r="D334" t="s">
        <v>53</v>
      </c>
      <c r="E334">
        <v>5118230440060100</v>
      </c>
      <c r="F334">
        <v>5118230440060100</v>
      </c>
      <c r="G334" t="s">
        <v>800</v>
      </c>
      <c r="H334" t="s">
        <v>804</v>
      </c>
      <c r="I334" t="s">
        <v>31</v>
      </c>
      <c r="J334" t="s">
        <v>30</v>
      </c>
      <c r="K334" t="s">
        <v>805</v>
      </c>
      <c r="L334" t="s">
        <v>31</v>
      </c>
      <c r="M334" t="s">
        <v>31</v>
      </c>
      <c r="N334" t="s">
        <v>31</v>
      </c>
      <c r="O334" t="s">
        <v>31</v>
      </c>
      <c r="P334" t="s">
        <v>31</v>
      </c>
      <c r="Q334" t="s">
        <v>31</v>
      </c>
      <c r="R334" t="s">
        <v>31</v>
      </c>
      <c r="S334" t="s">
        <v>31</v>
      </c>
      <c r="T334">
        <v>12</v>
      </c>
      <c r="U334">
        <v>23</v>
      </c>
      <c r="V334" t="s">
        <v>31</v>
      </c>
      <c r="W334" t="s">
        <v>31</v>
      </c>
      <c r="X334" t="s">
        <v>31</v>
      </c>
      <c r="Y334" t="s">
        <v>31</v>
      </c>
      <c r="Z334" t="s">
        <v>31</v>
      </c>
      <c r="AA334">
        <v>0</v>
      </c>
    </row>
    <row r="335" spans="1:27" x14ac:dyDescent="0.25">
      <c r="A335">
        <v>335</v>
      </c>
      <c r="B335" t="s">
        <v>27</v>
      </c>
      <c r="C335">
        <v>681</v>
      </c>
      <c r="D335" t="s">
        <v>41</v>
      </c>
      <c r="E335">
        <v>5118230000242000</v>
      </c>
      <c r="F335">
        <v>5118230000242000</v>
      </c>
      <c r="G335" t="s">
        <v>806</v>
      </c>
      <c r="H335">
        <v>242</v>
      </c>
      <c r="I335">
        <v>6253170242</v>
      </c>
      <c r="J335" t="s">
        <v>30</v>
      </c>
      <c r="K335" t="s">
        <v>807</v>
      </c>
      <c r="L335" t="s">
        <v>31</v>
      </c>
      <c r="M335" t="s">
        <v>31</v>
      </c>
      <c r="N335">
        <v>0</v>
      </c>
      <c r="O335" t="s">
        <v>31</v>
      </c>
      <c r="P335" t="s">
        <v>31</v>
      </c>
      <c r="Q335" t="s">
        <v>31</v>
      </c>
      <c r="R335" t="s">
        <v>31</v>
      </c>
      <c r="S335" t="s">
        <v>31</v>
      </c>
      <c r="T335">
        <v>99</v>
      </c>
      <c r="U335">
        <v>195</v>
      </c>
      <c r="V335" t="s">
        <v>31</v>
      </c>
      <c r="W335" t="s">
        <v>52</v>
      </c>
      <c r="X335" t="s">
        <v>99</v>
      </c>
      <c r="Y335">
        <v>0</v>
      </c>
      <c r="Z335" t="s">
        <v>49</v>
      </c>
      <c r="AA335">
        <v>0</v>
      </c>
    </row>
    <row r="336" spans="1:27" x14ac:dyDescent="0.25">
      <c r="A336">
        <v>336</v>
      </c>
      <c r="B336" t="s">
        <v>27</v>
      </c>
      <c r="C336">
        <v>795</v>
      </c>
      <c r="D336" t="s">
        <v>41</v>
      </c>
      <c r="E336">
        <v>5118230190010100</v>
      </c>
      <c r="F336">
        <v>5118230190010100</v>
      </c>
      <c r="G336" t="s">
        <v>808</v>
      </c>
      <c r="H336" t="s">
        <v>809</v>
      </c>
      <c r="I336" t="s">
        <v>31</v>
      </c>
      <c r="J336" t="s">
        <v>30</v>
      </c>
      <c r="K336" t="s">
        <v>810</v>
      </c>
      <c r="L336" t="s">
        <v>31</v>
      </c>
      <c r="M336" t="s">
        <v>31</v>
      </c>
      <c r="N336" t="s">
        <v>31</v>
      </c>
      <c r="O336" t="s">
        <v>31</v>
      </c>
      <c r="P336" t="s">
        <v>31</v>
      </c>
      <c r="Q336" t="s">
        <v>31</v>
      </c>
      <c r="R336" t="s">
        <v>31</v>
      </c>
      <c r="S336" t="s">
        <v>31</v>
      </c>
      <c r="T336">
        <v>47</v>
      </c>
      <c r="U336">
        <v>66</v>
      </c>
      <c r="V336" t="s">
        <v>31</v>
      </c>
      <c r="W336" t="s">
        <v>31</v>
      </c>
      <c r="X336" t="s">
        <v>31</v>
      </c>
      <c r="Y336" t="s">
        <v>31</v>
      </c>
      <c r="Z336" t="s">
        <v>31</v>
      </c>
      <c r="AA336">
        <v>0</v>
      </c>
    </row>
    <row r="337" spans="1:27" x14ac:dyDescent="0.25">
      <c r="A337">
        <v>337</v>
      </c>
      <c r="B337" t="s">
        <v>27</v>
      </c>
      <c r="C337">
        <v>776</v>
      </c>
      <c r="D337" t="s">
        <v>53</v>
      </c>
      <c r="E337">
        <v>5118230140020100</v>
      </c>
      <c r="F337">
        <v>5118230140020100</v>
      </c>
      <c r="G337" t="s">
        <v>811</v>
      </c>
      <c r="H337" t="s">
        <v>812</v>
      </c>
      <c r="I337" t="s">
        <v>31</v>
      </c>
      <c r="J337" t="s">
        <v>30</v>
      </c>
      <c r="K337" t="s">
        <v>813</v>
      </c>
      <c r="L337" t="s">
        <v>31</v>
      </c>
      <c r="M337" t="s">
        <v>31</v>
      </c>
      <c r="N337" t="s">
        <v>31</v>
      </c>
      <c r="O337" t="s">
        <v>31</v>
      </c>
      <c r="P337" t="s">
        <v>31</v>
      </c>
      <c r="Q337" t="s">
        <v>31</v>
      </c>
      <c r="R337" t="s">
        <v>31</v>
      </c>
      <c r="S337" t="s">
        <v>31</v>
      </c>
      <c r="T337">
        <v>63</v>
      </c>
      <c r="U337">
        <v>119</v>
      </c>
      <c r="V337" t="s">
        <v>31</v>
      </c>
      <c r="W337" t="s">
        <v>31</v>
      </c>
      <c r="X337" t="s">
        <v>31</v>
      </c>
      <c r="Y337" t="s">
        <v>31</v>
      </c>
      <c r="Z337" t="s">
        <v>31</v>
      </c>
      <c r="AA337">
        <v>0</v>
      </c>
    </row>
    <row r="338" spans="1:27" x14ac:dyDescent="0.25">
      <c r="A338">
        <v>338</v>
      </c>
      <c r="B338" t="s">
        <v>27</v>
      </c>
      <c r="C338">
        <v>671</v>
      </c>
      <c r="D338" t="s">
        <v>53</v>
      </c>
      <c r="E338">
        <v>5118230000232000</v>
      </c>
      <c r="F338">
        <v>5118230000232000</v>
      </c>
      <c r="G338" t="s">
        <v>814</v>
      </c>
      <c r="H338">
        <v>232</v>
      </c>
      <c r="I338">
        <v>6253180232</v>
      </c>
      <c r="J338" t="s">
        <v>30</v>
      </c>
      <c r="K338" t="s">
        <v>815</v>
      </c>
      <c r="L338" t="s">
        <v>31</v>
      </c>
      <c r="M338" t="s">
        <v>31</v>
      </c>
      <c r="N338">
        <v>0</v>
      </c>
      <c r="O338" t="s">
        <v>59</v>
      </c>
      <c r="P338" t="s">
        <v>816</v>
      </c>
      <c r="Q338" t="s">
        <v>47</v>
      </c>
      <c r="R338" t="s">
        <v>61</v>
      </c>
      <c r="S338" t="s">
        <v>61</v>
      </c>
      <c r="T338">
        <v>70</v>
      </c>
      <c r="U338">
        <v>90</v>
      </c>
      <c r="V338" t="s">
        <v>52</v>
      </c>
      <c r="W338" t="s">
        <v>52</v>
      </c>
      <c r="X338" t="s">
        <v>39</v>
      </c>
      <c r="Y338">
        <v>0</v>
      </c>
      <c r="Z338" t="s">
        <v>40</v>
      </c>
      <c r="AA338">
        <v>28</v>
      </c>
    </row>
    <row r="339" spans="1:27" x14ac:dyDescent="0.25">
      <c r="A339">
        <v>339</v>
      </c>
      <c r="B339" t="s">
        <v>27</v>
      </c>
      <c r="C339">
        <v>775</v>
      </c>
      <c r="D339" t="s">
        <v>53</v>
      </c>
      <c r="E339">
        <v>5118230140010100</v>
      </c>
      <c r="F339">
        <v>5118230140010100</v>
      </c>
      <c r="G339" t="s">
        <v>817</v>
      </c>
      <c r="H339" t="s">
        <v>818</v>
      </c>
      <c r="I339" t="s">
        <v>31</v>
      </c>
      <c r="J339" t="s">
        <v>30</v>
      </c>
      <c r="K339" t="s">
        <v>813</v>
      </c>
      <c r="L339" t="s">
        <v>31</v>
      </c>
      <c r="M339" t="s">
        <v>31</v>
      </c>
      <c r="N339" t="s">
        <v>31</v>
      </c>
      <c r="O339" t="s">
        <v>31</v>
      </c>
      <c r="P339" t="s">
        <v>31</v>
      </c>
      <c r="Q339" t="s">
        <v>31</v>
      </c>
      <c r="R339" t="s">
        <v>31</v>
      </c>
      <c r="S339" t="s">
        <v>31</v>
      </c>
      <c r="T339">
        <v>15</v>
      </c>
      <c r="U339">
        <v>28</v>
      </c>
      <c r="V339" t="s">
        <v>31</v>
      </c>
      <c r="W339" t="s">
        <v>31</v>
      </c>
      <c r="X339" t="s">
        <v>31</v>
      </c>
      <c r="Y339" t="s">
        <v>31</v>
      </c>
      <c r="Z339" t="s">
        <v>31</v>
      </c>
      <c r="AA339">
        <v>0</v>
      </c>
    </row>
    <row r="340" spans="1:27" x14ac:dyDescent="0.25">
      <c r="A340">
        <v>340</v>
      </c>
      <c r="B340" t="s">
        <v>27</v>
      </c>
      <c r="C340">
        <v>673</v>
      </c>
      <c r="D340" t="s">
        <v>53</v>
      </c>
      <c r="E340">
        <v>5118230000234000</v>
      </c>
      <c r="F340">
        <v>5118230000234000</v>
      </c>
      <c r="G340" t="s">
        <v>819</v>
      </c>
      <c r="H340">
        <v>234</v>
      </c>
      <c r="I340">
        <v>6253180234</v>
      </c>
      <c r="J340" t="s">
        <v>30</v>
      </c>
      <c r="K340" t="s">
        <v>820</v>
      </c>
      <c r="L340" t="s">
        <v>31</v>
      </c>
      <c r="M340" t="s">
        <v>31</v>
      </c>
      <c r="N340">
        <v>0</v>
      </c>
      <c r="O340" t="s">
        <v>59</v>
      </c>
      <c r="P340" t="s">
        <v>705</v>
      </c>
      <c r="Q340" t="s">
        <v>47</v>
      </c>
      <c r="R340" t="s">
        <v>61</v>
      </c>
      <c r="S340" t="s">
        <v>61</v>
      </c>
      <c r="T340">
        <v>15</v>
      </c>
      <c r="U340">
        <v>20</v>
      </c>
      <c r="V340" t="s">
        <v>31</v>
      </c>
      <c r="W340" t="s">
        <v>52</v>
      </c>
      <c r="X340" t="s">
        <v>421</v>
      </c>
      <c r="Y340">
        <v>0</v>
      </c>
      <c r="Z340" t="s">
        <v>40</v>
      </c>
      <c r="AA340">
        <v>0</v>
      </c>
    </row>
    <row r="341" spans="1:27" x14ac:dyDescent="0.25">
      <c r="A341">
        <v>341</v>
      </c>
      <c r="B341" t="s">
        <v>27</v>
      </c>
      <c r="C341">
        <v>662</v>
      </c>
      <c r="D341" t="s">
        <v>53</v>
      </c>
      <c r="E341">
        <v>5118230000223000</v>
      </c>
      <c r="F341">
        <v>5118230000223000</v>
      </c>
      <c r="G341" t="s">
        <v>821</v>
      </c>
      <c r="H341">
        <v>223</v>
      </c>
      <c r="I341">
        <v>6253330223</v>
      </c>
      <c r="J341" t="s">
        <v>30</v>
      </c>
      <c r="K341" t="s">
        <v>822</v>
      </c>
      <c r="L341" t="s">
        <v>31</v>
      </c>
      <c r="M341" t="s">
        <v>31</v>
      </c>
      <c r="N341">
        <v>0</v>
      </c>
      <c r="O341" t="s">
        <v>59</v>
      </c>
      <c r="P341" t="s">
        <v>729</v>
      </c>
      <c r="Q341" t="s">
        <v>47</v>
      </c>
      <c r="R341" t="s">
        <v>61</v>
      </c>
      <c r="S341" t="s">
        <v>61</v>
      </c>
      <c r="T341">
        <v>0</v>
      </c>
      <c r="U341">
        <v>1</v>
      </c>
      <c r="V341" t="s">
        <v>31</v>
      </c>
      <c r="W341" t="s">
        <v>37</v>
      </c>
      <c r="X341" t="s">
        <v>39</v>
      </c>
      <c r="Y341">
        <v>0</v>
      </c>
      <c r="Z341" t="s">
        <v>40</v>
      </c>
      <c r="AA341">
        <v>0</v>
      </c>
    </row>
    <row r="342" spans="1:27" x14ac:dyDescent="0.25">
      <c r="A342">
        <v>342</v>
      </c>
      <c r="B342" t="s">
        <v>27</v>
      </c>
      <c r="C342">
        <v>847</v>
      </c>
      <c r="D342" t="s">
        <v>53</v>
      </c>
      <c r="E342">
        <v>5118230280020100</v>
      </c>
      <c r="F342">
        <v>5118230280020100</v>
      </c>
      <c r="G342" t="s">
        <v>821</v>
      </c>
      <c r="H342" t="s">
        <v>823</v>
      </c>
      <c r="I342" t="s">
        <v>31</v>
      </c>
      <c r="J342" t="s">
        <v>30</v>
      </c>
      <c r="K342" t="s">
        <v>824</v>
      </c>
      <c r="L342" t="s">
        <v>31</v>
      </c>
      <c r="M342" t="s">
        <v>31</v>
      </c>
      <c r="N342" t="s">
        <v>31</v>
      </c>
      <c r="O342" t="s">
        <v>31</v>
      </c>
      <c r="P342" t="s">
        <v>31</v>
      </c>
      <c r="Q342" t="s">
        <v>31</v>
      </c>
      <c r="R342" t="s">
        <v>31</v>
      </c>
      <c r="S342" t="s">
        <v>31</v>
      </c>
      <c r="T342">
        <v>23</v>
      </c>
      <c r="U342">
        <v>29</v>
      </c>
      <c r="V342" t="s">
        <v>31</v>
      </c>
      <c r="W342" t="s">
        <v>31</v>
      </c>
      <c r="X342" t="s">
        <v>31</v>
      </c>
      <c r="Y342" t="s">
        <v>31</v>
      </c>
      <c r="Z342" t="s">
        <v>31</v>
      </c>
      <c r="AA342">
        <v>0</v>
      </c>
    </row>
    <row r="343" spans="1:27" x14ac:dyDescent="0.25">
      <c r="A343">
        <v>343</v>
      </c>
      <c r="B343" t="s">
        <v>27</v>
      </c>
      <c r="C343">
        <v>613</v>
      </c>
      <c r="D343" t="s">
        <v>53</v>
      </c>
      <c r="E343">
        <v>5118230000173000</v>
      </c>
      <c r="F343">
        <v>5118230000173000</v>
      </c>
      <c r="G343" t="s">
        <v>825</v>
      </c>
      <c r="H343">
        <v>173</v>
      </c>
      <c r="I343">
        <v>6253290173</v>
      </c>
      <c r="J343" t="s">
        <v>30</v>
      </c>
      <c r="K343" t="s">
        <v>826</v>
      </c>
      <c r="L343" t="s">
        <v>31</v>
      </c>
      <c r="M343" t="s">
        <v>31</v>
      </c>
      <c r="N343">
        <v>0</v>
      </c>
      <c r="O343" t="s">
        <v>59</v>
      </c>
      <c r="P343" t="s">
        <v>827</v>
      </c>
      <c r="Q343" t="s">
        <v>35</v>
      </c>
      <c r="R343" t="s">
        <v>61</v>
      </c>
      <c r="S343" t="s">
        <v>31</v>
      </c>
      <c r="T343">
        <v>38</v>
      </c>
      <c r="U343">
        <v>60</v>
      </c>
      <c r="V343" t="s">
        <v>31</v>
      </c>
      <c r="W343" t="s">
        <v>52</v>
      </c>
      <c r="X343" t="s">
        <v>99</v>
      </c>
      <c r="Y343">
        <v>0</v>
      </c>
      <c r="Z343" t="s">
        <v>40</v>
      </c>
      <c r="AA343">
        <v>0</v>
      </c>
    </row>
    <row r="344" spans="1:27" x14ac:dyDescent="0.25">
      <c r="A344">
        <v>344</v>
      </c>
      <c r="B344" t="s">
        <v>27</v>
      </c>
      <c r="C344">
        <v>777</v>
      </c>
      <c r="D344" t="s">
        <v>53</v>
      </c>
      <c r="E344">
        <v>5118230140030100</v>
      </c>
      <c r="F344">
        <v>5118230140030100</v>
      </c>
      <c r="G344" t="s">
        <v>828</v>
      </c>
      <c r="H344" t="s">
        <v>829</v>
      </c>
      <c r="I344" t="s">
        <v>31</v>
      </c>
      <c r="J344" t="s">
        <v>30</v>
      </c>
      <c r="K344" t="s">
        <v>830</v>
      </c>
      <c r="L344" t="s">
        <v>31</v>
      </c>
      <c r="M344" t="s">
        <v>31</v>
      </c>
      <c r="N344" t="s">
        <v>31</v>
      </c>
      <c r="O344" t="s">
        <v>31</v>
      </c>
      <c r="P344" t="s">
        <v>31</v>
      </c>
      <c r="Q344" t="s">
        <v>31</v>
      </c>
      <c r="R344" t="s">
        <v>31</v>
      </c>
      <c r="S344" t="s">
        <v>31</v>
      </c>
      <c r="T344">
        <v>0</v>
      </c>
      <c r="U344">
        <v>10</v>
      </c>
      <c r="V344" t="s">
        <v>31</v>
      </c>
      <c r="W344" t="s">
        <v>31</v>
      </c>
      <c r="X344" t="s">
        <v>31</v>
      </c>
      <c r="Y344" t="s">
        <v>31</v>
      </c>
      <c r="Z344" t="s">
        <v>31</v>
      </c>
      <c r="AA344">
        <v>0</v>
      </c>
    </row>
    <row r="345" spans="1:27" x14ac:dyDescent="0.25">
      <c r="A345">
        <v>345</v>
      </c>
      <c r="B345" t="s">
        <v>27</v>
      </c>
      <c r="C345">
        <v>679</v>
      </c>
      <c r="D345" t="s">
        <v>53</v>
      </c>
      <c r="E345">
        <v>5118230000240000</v>
      </c>
      <c r="F345">
        <v>5118230000240000</v>
      </c>
      <c r="G345" t="s">
        <v>831</v>
      </c>
      <c r="H345">
        <v>240</v>
      </c>
      <c r="I345">
        <v>6253170240</v>
      </c>
      <c r="J345" t="s">
        <v>30</v>
      </c>
      <c r="K345" t="s">
        <v>832</v>
      </c>
      <c r="L345" t="s">
        <v>31</v>
      </c>
      <c r="M345" t="s">
        <v>31</v>
      </c>
      <c r="N345">
        <v>0</v>
      </c>
      <c r="O345" t="s">
        <v>59</v>
      </c>
      <c r="P345" t="s">
        <v>705</v>
      </c>
      <c r="Q345" t="s">
        <v>35</v>
      </c>
      <c r="R345" t="s">
        <v>61</v>
      </c>
      <c r="S345" t="s">
        <v>61</v>
      </c>
      <c r="T345">
        <v>85</v>
      </c>
      <c r="U345">
        <v>105</v>
      </c>
      <c r="V345" t="s">
        <v>31</v>
      </c>
      <c r="W345" t="s">
        <v>52</v>
      </c>
      <c r="X345" t="s">
        <v>115</v>
      </c>
      <c r="Y345">
        <v>0</v>
      </c>
      <c r="Z345" t="s">
        <v>343</v>
      </c>
      <c r="AA345">
        <v>0</v>
      </c>
    </row>
    <row r="346" spans="1:27" x14ac:dyDescent="0.25">
      <c r="A346">
        <v>346</v>
      </c>
      <c r="B346" t="s">
        <v>27</v>
      </c>
      <c r="C346">
        <v>672</v>
      </c>
      <c r="D346" t="s">
        <v>41</v>
      </c>
      <c r="E346">
        <v>5118230000233000</v>
      </c>
      <c r="F346">
        <v>5118230000233000</v>
      </c>
      <c r="G346" t="s">
        <v>833</v>
      </c>
      <c r="H346">
        <v>233</v>
      </c>
      <c r="I346">
        <v>6253180233</v>
      </c>
      <c r="J346" t="s">
        <v>30</v>
      </c>
      <c r="K346" t="s">
        <v>820</v>
      </c>
      <c r="L346" t="s">
        <v>31</v>
      </c>
      <c r="M346" t="s">
        <v>31</v>
      </c>
      <c r="N346">
        <v>0</v>
      </c>
      <c r="O346" t="s">
        <v>31</v>
      </c>
      <c r="P346" t="s">
        <v>31</v>
      </c>
      <c r="Q346" t="s">
        <v>47</v>
      </c>
      <c r="R346" t="s">
        <v>31</v>
      </c>
      <c r="S346" t="s">
        <v>31</v>
      </c>
      <c r="T346">
        <v>1</v>
      </c>
      <c r="U346">
        <v>5</v>
      </c>
      <c r="V346" t="s">
        <v>31</v>
      </c>
      <c r="W346" t="s">
        <v>37</v>
      </c>
      <c r="X346" t="s">
        <v>115</v>
      </c>
      <c r="Y346">
        <v>0</v>
      </c>
      <c r="Z346" t="s">
        <v>834</v>
      </c>
      <c r="AA346">
        <v>0</v>
      </c>
    </row>
    <row r="347" spans="1:27" x14ac:dyDescent="0.25">
      <c r="A347">
        <v>347</v>
      </c>
      <c r="B347" t="s">
        <v>27</v>
      </c>
      <c r="C347">
        <v>774</v>
      </c>
      <c r="D347" t="s">
        <v>53</v>
      </c>
      <c r="E347">
        <v>5118230140000100</v>
      </c>
      <c r="F347">
        <v>5118230140000100</v>
      </c>
      <c r="G347" t="s">
        <v>334</v>
      </c>
      <c r="H347" t="s">
        <v>835</v>
      </c>
      <c r="I347" t="s">
        <v>31</v>
      </c>
      <c r="J347" t="s">
        <v>30</v>
      </c>
      <c r="K347" t="s">
        <v>813</v>
      </c>
      <c r="L347" t="s">
        <v>31</v>
      </c>
      <c r="M347" t="s">
        <v>31</v>
      </c>
      <c r="N347" t="s">
        <v>31</v>
      </c>
      <c r="O347" t="s">
        <v>31</v>
      </c>
      <c r="P347" t="s">
        <v>31</v>
      </c>
      <c r="Q347" t="s">
        <v>31</v>
      </c>
      <c r="R347" t="s">
        <v>31</v>
      </c>
      <c r="S347" t="s">
        <v>31</v>
      </c>
      <c r="T347">
        <v>5</v>
      </c>
      <c r="U347">
        <v>8</v>
      </c>
      <c r="V347" t="s">
        <v>31</v>
      </c>
      <c r="W347" t="s">
        <v>31</v>
      </c>
      <c r="X347" t="s">
        <v>31</v>
      </c>
      <c r="Y347" t="s">
        <v>31</v>
      </c>
      <c r="Z347" t="s">
        <v>31</v>
      </c>
      <c r="AA347">
        <v>0</v>
      </c>
    </row>
    <row r="348" spans="1:27" x14ac:dyDescent="0.25">
      <c r="A348">
        <v>348</v>
      </c>
      <c r="B348" t="s">
        <v>27</v>
      </c>
      <c r="C348">
        <v>680</v>
      </c>
      <c r="D348" t="s">
        <v>41</v>
      </c>
      <c r="E348">
        <v>5118230000241000</v>
      </c>
      <c r="F348">
        <v>5118230000241000</v>
      </c>
      <c r="G348" t="s">
        <v>836</v>
      </c>
      <c r="H348">
        <v>241</v>
      </c>
      <c r="I348">
        <v>6253170241</v>
      </c>
      <c r="J348" t="s">
        <v>30</v>
      </c>
      <c r="K348" t="s">
        <v>837</v>
      </c>
      <c r="L348" t="s">
        <v>31</v>
      </c>
      <c r="M348" t="s">
        <v>31</v>
      </c>
      <c r="N348">
        <v>0</v>
      </c>
      <c r="O348" t="s">
        <v>31</v>
      </c>
      <c r="P348" t="s">
        <v>31</v>
      </c>
      <c r="Q348" t="s">
        <v>31</v>
      </c>
      <c r="R348" t="s">
        <v>31</v>
      </c>
      <c r="S348" t="s">
        <v>31</v>
      </c>
      <c r="T348">
        <v>1016</v>
      </c>
      <c r="U348">
        <v>1650.94</v>
      </c>
      <c r="V348" t="s">
        <v>31</v>
      </c>
      <c r="W348" t="s">
        <v>838</v>
      </c>
      <c r="X348" t="s">
        <v>411</v>
      </c>
      <c r="Y348">
        <v>0</v>
      </c>
      <c r="Z348" t="s">
        <v>49</v>
      </c>
      <c r="AA348">
        <v>0</v>
      </c>
    </row>
    <row r="349" spans="1:27" x14ac:dyDescent="0.25">
      <c r="A349">
        <v>349</v>
      </c>
      <c r="B349" t="s">
        <v>27</v>
      </c>
      <c r="C349">
        <v>918</v>
      </c>
      <c r="D349" t="s">
        <v>41</v>
      </c>
      <c r="E349">
        <v>5118230430000100</v>
      </c>
      <c r="F349">
        <v>5118230430000100</v>
      </c>
      <c r="G349" t="s">
        <v>839</v>
      </c>
      <c r="H349" t="s">
        <v>840</v>
      </c>
      <c r="I349" t="s">
        <v>31</v>
      </c>
      <c r="J349" t="s">
        <v>30</v>
      </c>
      <c r="K349" t="s">
        <v>841</v>
      </c>
      <c r="L349" t="s">
        <v>31</v>
      </c>
      <c r="M349" t="s">
        <v>31</v>
      </c>
      <c r="N349" t="s">
        <v>31</v>
      </c>
      <c r="O349" t="s">
        <v>31</v>
      </c>
      <c r="P349" t="s">
        <v>31</v>
      </c>
      <c r="Q349" t="s">
        <v>31</v>
      </c>
      <c r="R349" t="s">
        <v>31</v>
      </c>
      <c r="S349" t="s">
        <v>31</v>
      </c>
      <c r="T349">
        <v>56</v>
      </c>
      <c r="U349">
        <v>70</v>
      </c>
      <c r="V349" t="s">
        <v>31</v>
      </c>
      <c r="W349" t="s">
        <v>31</v>
      </c>
      <c r="X349" t="s">
        <v>31</v>
      </c>
      <c r="Y349" t="s">
        <v>31</v>
      </c>
      <c r="Z349" t="s">
        <v>31</v>
      </c>
      <c r="AA349">
        <v>0</v>
      </c>
    </row>
    <row r="350" spans="1:27" x14ac:dyDescent="0.25">
      <c r="A350">
        <v>350</v>
      </c>
      <c r="B350" t="s">
        <v>27</v>
      </c>
      <c r="C350">
        <v>616</v>
      </c>
      <c r="D350" t="s">
        <v>41</v>
      </c>
      <c r="E350">
        <v>5118230000176000</v>
      </c>
      <c r="F350">
        <v>5118230000176000</v>
      </c>
      <c r="G350" t="s">
        <v>839</v>
      </c>
      <c r="H350">
        <v>176</v>
      </c>
      <c r="I350">
        <v>6253290176</v>
      </c>
      <c r="J350" t="s">
        <v>30</v>
      </c>
      <c r="K350" t="s">
        <v>842</v>
      </c>
      <c r="L350" t="s">
        <v>31</v>
      </c>
      <c r="M350" t="s">
        <v>31</v>
      </c>
      <c r="N350">
        <v>0</v>
      </c>
      <c r="O350" t="s">
        <v>31</v>
      </c>
      <c r="P350" t="s">
        <v>31</v>
      </c>
      <c r="Q350" t="s">
        <v>31</v>
      </c>
      <c r="R350" t="s">
        <v>31</v>
      </c>
      <c r="S350" t="s">
        <v>31</v>
      </c>
      <c r="T350">
        <v>16</v>
      </c>
      <c r="U350">
        <v>25</v>
      </c>
      <c r="V350" t="s">
        <v>31</v>
      </c>
      <c r="W350" t="s">
        <v>52</v>
      </c>
      <c r="X350" t="s">
        <v>31</v>
      </c>
      <c r="Y350">
        <v>0</v>
      </c>
      <c r="Z350" t="s">
        <v>49</v>
      </c>
      <c r="AA350">
        <v>0</v>
      </c>
    </row>
    <row r="351" spans="1:27" x14ac:dyDescent="0.25">
      <c r="A351">
        <v>351</v>
      </c>
      <c r="B351" t="s">
        <v>27</v>
      </c>
      <c r="C351">
        <v>793</v>
      </c>
      <c r="D351" t="s">
        <v>41</v>
      </c>
      <c r="E351">
        <v>5118230190000100</v>
      </c>
      <c r="F351">
        <v>5118230190000100</v>
      </c>
      <c r="G351" t="s">
        <v>843</v>
      </c>
      <c r="H351" t="s">
        <v>844</v>
      </c>
      <c r="I351" t="s">
        <v>31</v>
      </c>
      <c r="J351" t="s">
        <v>30</v>
      </c>
      <c r="K351" t="s">
        <v>845</v>
      </c>
      <c r="L351" t="s">
        <v>31</v>
      </c>
      <c r="M351" t="s">
        <v>31</v>
      </c>
      <c r="N351" t="s">
        <v>31</v>
      </c>
      <c r="O351" t="s">
        <v>31</v>
      </c>
      <c r="P351" t="s">
        <v>31</v>
      </c>
      <c r="Q351" t="s">
        <v>31</v>
      </c>
      <c r="R351" t="s">
        <v>31</v>
      </c>
      <c r="S351" t="s">
        <v>31</v>
      </c>
      <c r="T351">
        <v>1021</v>
      </c>
      <c r="U351">
        <v>1650</v>
      </c>
      <c r="V351" t="s">
        <v>31</v>
      </c>
      <c r="W351" t="s">
        <v>31</v>
      </c>
      <c r="X351" t="s">
        <v>31</v>
      </c>
      <c r="Y351" t="s">
        <v>31</v>
      </c>
      <c r="Z351" t="s">
        <v>31</v>
      </c>
      <c r="AA351">
        <v>0</v>
      </c>
    </row>
    <row r="352" spans="1:27" x14ac:dyDescent="0.25">
      <c r="A352">
        <v>352</v>
      </c>
      <c r="B352" t="s">
        <v>27</v>
      </c>
      <c r="C352">
        <v>919</v>
      </c>
      <c r="D352" t="s">
        <v>53</v>
      </c>
      <c r="E352">
        <v>5118230430010100</v>
      </c>
      <c r="F352">
        <v>5118230430010100</v>
      </c>
      <c r="G352" t="s">
        <v>846</v>
      </c>
      <c r="H352" t="s">
        <v>847</v>
      </c>
      <c r="I352" t="s">
        <v>31</v>
      </c>
      <c r="J352" t="s">
        <v>30</v>
      </c>
      <c r="K352" t="s">
        <v>848</v>
      </c>
      <c r="L352" t="s">
        <v>31</v>
      </c>
      <c r="M352" t="s">
        <v>31</v>
      </c>
      <c r="N352" t="s">
        <v>31</v>
      </c>
      <c r="O352" t="s">
        <v>31</v>
      </c>
      <c r="P352" t="s">
        <v>31</v>
      </c>
      <c r="Q352" t="s">
        <v>31</v>
      </c>
      <c r="R352" t="s">
        <v>31</v>
      </c>
      <c r="S352" t="s">
        <v>31</v>
      </c>
      <c r="T352">
        <v>31</v>
      </c>
      <c r="U352">
        <v>59</v>
      </c>
      <c r="V352" t="s">
        <v>31</v>
      </c>
      <c r="W352" t="s">
        <v>31</v>
      </c>
      <c r="X352" t="s">
        <v>31</v>
      </c>
      <c r="Y352" t="s">
        <v>31</v>
      </c>
      <c r="Z352" t="s">
        <v>31</v>
      </c>
      <c r="AA352">
        <v>0</v>
      </c>
    </row>
    <row r="353" spans="1:27" x14ac:dyDescent="0.25">
      <c r="A353">
        <v>353</v>
      </c>
      <c r="B353" t="s">
        <v>27</v>
      </c>
      <c r="C353">
        <v>617</v>
      </c>
      <c r="D353" t="s">
        <v>53</v>
      </c>
      <c r="E353">
        <v>5118230000177000</v>
      </c>
      <c r="F353">
        <v>5118230000177000</v>
      </c>
      <c r="G353" t="s">
        <v>849</v>
      </c>
      <c r="H353">
        <v>177</v>
      </c>
      <c r="I353">
        <v>6253280177</v>
      </c>
      <c r="J353" t="s">
        <v>30</v>
      </c>
      <c r="K353" t="s">
        <v>850</v>
      </c>
      <c r="L353" t="s">
        <v>31</v>
      </c>
      <c r="M353" t="s">
        <v>31</v>
      </c>
      <c r="N353">
        <v>0</v>
      </c>
      <c r="O353" t="s">
        <v>59</v>
      </c>
      <c r="P353" t="s">
        <v>631</v>
      </c>
      <c r="Q353" t="s">
        <v>35</v>
      </c>
      <c r="R353" t="s">
        <v>61</v>
      </c>
      <c r="S353" t="s">
        <v>31</v>
      </c>
      <c r="T353">
        <v>4</v>
      </c>
      <c r="U353">
        <v>5</v>
      </c>
      <c r="V353" t="s">
        <v>52</v>
      </c>
      <c r="W353" t="s">
        <v>37</v>
      </c>
      <c r="X353" t="s">
        <v>85</v>
      </c>
      <c r="Y353">
        <v>0</v>
      </c>
      <c r="Z353" t="s">
        <v>40</v>
      </c>
      <c r="AA353">
        <v>0</v>
      </c>
    </row>
    <row r="354" spans="1:27" x14ac:dyDescent="0.25">
      <c r="A354">
        <v>354</v>
      </c>
      <c r="B354" t="s">
        <v>27</v>
      </c>
      <c r="C354">
        <v>920</v>
      </c>
      <c r="D354" t="s">
        <v>53</v>
      </c>
      <c r="E354">
        <v>5118230430020100</v>
      </c>
      <c r="F354">
        <v>5118230430020100</v>
      </c>
      <c r="G354" t="s">
        <v>851</v>
      </c>
      <c r="H354" t="s">
        <v>852</v>
      </c>
      <c r="I354" t="s">
        <v>31</v>
      </c>
      <c r="J354" t="s">
        <v>30</v>
      </c>
      <c r="K354" t="s">
        <v>853</v>
      </c>
      <c r="L354" t="s">
        <v>31</v>
      </c>
      <c r="M354" t="s">
        <v>31</v>
      </c>
      <c r="N354" t="s">
        <v>31</v>
      </c>
      <c r="O354" t="s">
        <v>31</v>
      </c>
      <c r="P354" t="s">
        <v>31</v>
      </c>
      <c r="Q354" t="s">
        <v>31</v>
      </c>
      <c r="R354" t="s">
        <v>31</v>
      </c>
      <c r="S354" t="s">
        <v>31</v>
      </c>
      <c r="T354">
        <v>18</v>
      </c>
      <c r="U354">
        <v>34</v>
      </c>
      <c r="V354" t="s">
        <v>31</v>
      </c>
      <c r="W354" t="s">
        <v>31</v>
      </c>
      <c r="X354" t="s">
        <v>31</v>
      </c>
      <c r="Y354" t="s">
        <v>31</v>
      </c>
      <c r="Z354" t="s">
        <v>31</v>
      </c>
      <c r="AA354">
        <v>0</v>
      </c>
    </row>
    <row r="355" spans="1:27" x14ac:dyDescent="0.25">
      <c r="A355">
        <v>355</v>
      </c>
      <c r="B355" t="s">
        <v>27</v>
      </c>
      <c r="C355">
        <v>929</v>
      </c>
      <c r="D355" t="s">
        <v>53</v>
      </c>
      <c r="E355">
        <v>5118230450000100</v>
      </c>
      <c r="F355">
        <v>5118230450000100</v>
      </c>
      <c r="G355" t="s">
        <v>849</v>
      </c>
      <c r="H355" t="s">
        <v>854</v>
      </c>
      <c r="I355" t="s">
        <v>31</v>
      </c>
      <c r="J355" t="s">
        <v>30</v>
      </c>
      <c r="K355" t="s">
        <v>855</v>
      </c>
      <c r="L355" t="s">
        <v>31</v>
      </c>
      <c r="M355" t="s">
        <v>31</v>
      </c>
      <c r="N355" t="s">
        <v>31</v>
      </c>
      <c r="O355" t="s">
        <v>31</v>
      </c>
      <c r="P355" t="s">
        <v>31</v>
      </c>
      <c r="Q355" t="s">
        <v>31</v>
      </c>
      <c r="R355" t="s">
        <v>31</v>
      </c>
      <c r="S355" t="s">
        <v>31</v>
      </c>
      <c r="T355">
        <v>4</v>
      </c>
      <c r="U355">
        <v>8</v>
      </c>
      <c r="V355" t="s">
        <v>31</v>
      </c>
      <c r="W355" t="s">
        <v>31</v>
      </c>
      <c r="X355" t="s">
        <v>31</v>
      </c>
      <c r="Y355" t="s">
        <v>31</v>
      </c>
      <c r="Z355" t="s">
        <v>31</v>
      </c>
      <c r="AA355">
        <v>0</v>
      </c>
    </row>
    <row r="356" spans="1:27" x14ac:dyDescent="0.25">
      <c r="A356">
        <v>356</v>
      </c>
      <c r="B356" t="s">
        <v>27</v>
      </c>
      <c r="C356">
        <v>934</v>
      </c>
      <c r="D356" t="s">
        <v>53</v>
      </c>
      <c r="E356">
        <v>5118232080000100</v>
      </c>
      <c r="F356">
        <v>5118232080000100</v>
      </c>
      <c r="G356" t="s">
        <v>849</v>
      </c>
      <c r="H356" t="s">
        <v>854</v>
      </c>
      <c r="I356" t="s">
        <v>31</v>
      </c>
      <c r="J356" t="s">
        <v>30</v>
      </c>
      <c r="K356" t="s">
        <v>855</v>
      </c>
      <c r="L356" t="s">
        <v>31</v>
      </c>
      <c r="M356" t="s">
        <v>31</v>
      </c>
      <c r="N356" t="s">
        <v>31</v>
      </c>
      <c r="O356" t="s">
        <v>31</v>
      </c>
      <c r="P356" t="s">
        <v>31</v>
      </c>
      <c r="Q356" t="s">
        <v>31</v>
      </c>
      <c r="R356" t="s">
        <v>31</v>
      </c>
      <c r="S356" t="s">
        <v>31</v>
      </c>
      <c r="T356">
        <v>4</v>
      </c>
      <c r="U356">
        <v>8</v>
      </c>
      <c r="V356" t="s">
        <v>31</v>
      </c>
      <c r="W356" t="s">
        <v>31</v>
      </c>
      <c r="X356" t="s">
        <v>31</v>
      </c>
      <c r="Y356" t="s">
        <v>31</v>
      </c>
      <c r="Z356" t="s">
        <v>31</v>
      </c>
      <c r="AA356">
        <v>0</v>
      </c>
    </row>
    <row r="357" spans="1:27" x14ac:dyDescent="0.25">
      <c r="A357">
        <v>357</v>
      </c>
      <c r="B357" t="s">
        <v>27</v>
      </c>
      <c r="C357">
        <v>612</v>
      </c>
      <c r="D357" t="s">
        <v>53</v>
      </c>
      <c r="E357">
        <v>5118230000172000</v>
      </c>
      <c r="F357">
        <v>5118230000172000</v>
      </c>
      <c r="G357" t="s">
        <v>851</v>
      </c>
      <c r="H357">
        <v>172</v>
      </c>
      <c r="I357">
        <v>6253290172</v>
      </c>
      <c r="J357" t="s">
        <v>30</v>
      </c>
      <c r="K357" t="s">
        <v>856</v>
      </c>
      <c r="L357" t="s">
        <v>31</v>
      </c>
      <c r="M357" t="s">
        <v>31</v>
      </c>
      <c r="N357">
        <v>0</v>
      </c>
      <c r="O357" t="s">
        <v>59</v>
      </c>
      <c r="P357" t="s">
        <v>827</v>
      </c>
      <c r="Q357" t="s">
        <v>35</v>
      </c>
      <c r="R357" t="s">
        <v>61</v>
      </c>
      <c r="S357" t="s">
        <v>31</v>
      </c>
      <c r="T357">
        <v>15</v>
      </c>
      <c r="U357">
        <v>25</v>
      </c>
      <c r="V357" t="s">
        <v>37</v>
      </c>
      <c r="W357" t="s">
        <v>52</v>
      </c>
      <c r="X357" t="s">
        <v>39</v>
      </c>
      <c r="Y357">
        <v>0</v>
      </c>
      <c r="Z357" t="s">
        <v>40</v>
      </c>
      <c r="AA357">
        <v>0</v>
      </c>
    </row>
    <row r="358" spans="1:27" x14ac:dyDescent="0.25">
      <c r="A358">
        <v>358</v>
      </c>
      <c r="B358" t="s">
        <v>27</v>
      </c>
      <c r="C358">
        <v>932</v>
      </c>
      <c r="D358" t="s">
        <v>53</v>
      </c>
      <c r="E358">
        <v>5118230450030100</v>
      </c>
      <c r="F358">
        <v>5118230450030100</v>
      </c>
      <c r="G358" t="s">
        <v>857</v>
      </c>
      <c r="H358" t="s">
        <v>858</v>
      </c>
      <c r="I358" t="s">
        <v>31</v>
      </c>
      <c r="J358" t="s">
        <v>30</v>
      </c>
      <c r="K358" t="s">
        <v>859</v>
      </c>
      <c r="L358" t="s">
        <v>31</v>
      </c>
      <c r="M358" t="s">
        <v>31</v>
      </c>
      <c r="N358" t="s">
        <v>31</v>
      </c>
      <c r="O358" t="s">
        <v>31</v>
      </c>
      <c r="P358" t="s">
        <v>31</v>
      </c>
      <c r="Q358" t="s">
        <v>31</v>
      </c>
      <c r="R358" t="s">
        <v>31</v>
      </c>
      <c r="S358" t="s">
        <v>31</v>
      </c>
      <c r="T358">
        <v>37</v>
      </c>
      <c r="U358">
        <v>95</v>
      </c>
      <c r="V358" t="s">
        <v>31</v>
      </c>
      <c r="W358" t="s">
        <v>31</v>
      </c>
      <c r="X358" t="s">
        <v>31</v>
      </c>
      <c r="Y358" t="s">
        <v>31</v>
      </c>
      <c r="Z358" t="s">
        <v>31</v>
      </c>
      <c r="AA358">
        <v>0</v>
      </c>
    </row>
    <row r="359" spans="1:27" x14ac:dyDescent="0.25">
      <c r="A359">
        <v>359</v>
      </c>
      <c r="B359" t="s">
        <v>27</v>
      </c>
      <c r="C359">
        <v>611</v>
      </c>
      <c r="D359" t="s">
        <v>53</v>
      </c>
      <c r="E359">
        <v>5118230000171000</v>
      </c>
      <c r="F359">
        <v>5118230000171000</v>
      </c>
      <c r="G359" t="s">
        <v>846</v>
      </c>
      <c r="H359">
        <v>171</v>
      </c>
      <c r="I359">
        <v>6253290171</v>
      </c>
      <c r="J359" t="s">
        <v>30</v>
      </c>
      <c r="K359" t="s">
        <v>860</v>
      </c>
      <c r="L359" t="s">
        <v>31</v>
      </c>
      <c r="M359" t="s">
        <v>31</v>
      </c>
      <c r="N359">
        <v>0</v>
      </c>
      <c r="O359" t="s">
        <v>59</v>
      </c>
      <c r="P359" t="s">
        <v>31</v>
      </c>
      <c r="Q359" t="s">
        <v>31</v>
      </c>
      <c r="R359" t="s">
        <v>31</v>
      </c>
      <c r="S359" t="s">
        <v>31</v>
      </c>
      <c r="T359">
        <v>22</v>
      </c>
      <c r="U359">
        <v>15</v>
      </c>
      <c r="V359" t="s">
        <v>31</v>
      </c>
      <c r="W359" t="s">
        <v>52</v>
      </c>
      <c r="X359" t="s">
        <v>39</v>
      </c>
      <c r="Y359">
        <v>0</v>
      </c>
      <c r="Z359" t="s">
        <v>861</v>
      </c>
      <c r="AA359">
        <v>33</v>
      </c>
    </row>
    <row r="360" spans="1:27" x14ac:dyDescent="0.25">
      <c r="A360">
        <v>360</v>
      </c>
      <c r="B360" t="s">
        <v>27</v>
      </c>
      <c r="C360">
        <v>634</v>
      </c>
      <c r="D360" t="s">
        <v>53</v>
      </c>
      <c r="E360">
        <v>5118230000194000</v>
      </c>
      <c r="F360">
        <v>5118230000194000</v>
      </c>
      <c r="G360" t="s">
        <v>862</v>
      </c>
      <c r="H360">
        <v>194</v>
      </c>
      <c r="I360">
        <v>6253270194</v>
      </c>
      <c r="J360" t="s">
        <v>30</v>
      </c>
      <c r="K360" t="s">
        <v>863</v>
      </c>
      <c r="L360" t="s">
        <v>31</v>
      </c>
      <c r="M360" t="s">
        <v>31</v>
      </c>
      <c r="N360">
        <v>0</v>
      </c>
      <c r="O360" t="s">
        <v>59</v>
      </c>
      <c r="P360" t="s">
        <v>802</v>
      </c>
      <c r="Q360" t="s">
        <v>47</v>
      </c>
      <c r="R360" t="s">
        <v>61</v>
      </c>
      <c r="S360" t="s">
        <v>31</v>
      </c>
      <c r="T360">
        <v>6</v>
      </c>
      <c r="U360">
        <v>10</v>
      </c>
      <c r="V360" t="s">
        <v>31</v>
      </c>
      <c r="W360" t="s">
        <v>37</v>
      </c>
      <c r="X360" t="s">
        <v>39</v>
      </c>
      <c r="Y360">
        <v>0</v>
      </c>
      <c r="Z360" t="s">
        <v>40</v>
      </c>
      <c r="AA360">
        <v>0</v>
      </c>
    </row>
    <row r="361" spans="1:27" x14ac:dyDescent="0.25">
      <c r="A361">
        <v>361</v>
      </c>
      <c r="B361" t="s">
        <v>27</v>
      </c>
      <c r="C361">
        <v>928</v>
      </c>
      <c r="D361" t="s">
        <v>53</v>
      </c>
      <c r="E361">
        <v>5118230440070100</v>
      </c>
      <c r="F361">
        <v>5118230440070100</v>
      </c>
      <c r="G361" t="s">
        <v>864</v>
      </c>
      <c r="H361" t="s">
        <v>865</v>
      </c>
      <c r="I361" t="s">
        <v>31</v>
      </c>
      <c r="J361" t="s">
        <v>30</v>
      </c>
      <c r="K361" t="s">
        <v>805</v>
      </c>
      <c r="L361" t="s">
        <v>31</v>
      </c>
      <c r="M361" t="s">
        <v>31</v>
      </c>
      <c r="N361" t="s">
        <v>31</v>
      </c>
      <c r="O361" t="s">
        <v>31</v>
      </c>
      <c r="P361" t="s">
        <v>31</v>
      </c>
      <c r="Q361" t="s">
        <v>31</v>
      </c>
      <c r="R361" t="s">
        <v>31</v>
      </c>
      <c r="S361" t="s">
        <v>31</v>
      </c>
      <c r="T361">
        <v>10</v>
      </c>
      <c r="U361">
        <v>13</v>
      </c>
      <c r="V361" t="s">
        <v>31</v>
      </c>
      <c r="W361" t="s">
        <v>31</v>
      </c>
      <c r="X361" t="s">
        <v>31</v>
      </c>
      <c r="Y361" t="s">
        <v>31</v>
      </c>
      <c r="Z361" t="s">
        <v>31</v>
      </c>
      <c r="AA361">
        <v>0</v>
      </c>
    </row>
    <row r="362" spans="1:27" x14ac:dyDescent="0.25">
      <c r="A362">
        <v>362</v>
      </c>
      <c r="B362" t="s">
        <v>27</v>
      </c>
      <c r="C362">
        <v>660</v>
      </c>
      <c r="D362" t="s">
        <v>53</v>
      </c>
      <c r="E362">
        <v>5118230000221000</v>
      </c>
      <c r="F362">
        <v>5118230000221000</v>
      </c>
      <c r="G362" t="s">
        <v>866</v>
      </c>
      <c r="H362">
        <v>221</v>
      </c>
      <c r="I362">
        <v>6253330221</v>
      </c>
      <c r="J362" t="s">
        <v>30</v>
      </c>
      <c r="K362" t="s">
        <v>867</v>
      </c>
      <c r="L362" t="s">
        <v>31</v>
      </c>
      <c r="M362" t="s">
        <v>31</v>
      </c>
      <c r="N362">
        <v>0</v>
      </c>
      <c r="O362" t="s">
        <v>31</v>
      </c>
      <c r="P362" t="s">
        <v>729</v>
      </c>
      <c r="Q362" t="s">
        <v>35</v>
      </c>
      <c r="R362" t="s">
        <v>61</v>
      </c>
      <c r="S362" t="s">
        <v>61</v>
      </c>
      <c r="T362">
        <v>100</v>
      </c>
      <c r="U362">
        <v>60</v>
      </c>
      <c r="V362" t="s">
        <v>31</v>
      </c>
      <c r="W362" t="s">
        <v>52</v>
      </c>
      <c r="X362" t="s">
        <v>39</v>
      </c>
      <c r="Y362">
        <v>0</v>
      </c>
      <c r="Z362" t="s">
        <v>40</v>
      </c>
      <c r="AA362">
        <v>0</v>
      </c>
    </row>
    <row r="363" spans="1:27" x14ac:dyDescent="0.25">
      <c r="A363">
        <v>363</v>
      </c>
      <c r="B363" t="s">
        <v>27</v>
      </c>
      <c r="C363">
        <v>618</v>
      </c>
      <c r="D363" t="s">
        <v>53</v>
      </c>
      <c r="E363">
        <v>5118230000178000</v>
      </c>
      <c r="F363">
        <v>5118230000178000</v>
      </c>
      <c r="G363" t="s">
        <v>868</v>
      </c>
      <c r="H363">
        <v>178</v>
      </c>
      <c r="I363">
        <v>6253280178</v>
      </c>
      <c r="J363" t="s">
        <v>30</v>
      </c>
      <c r="K363" t="s">
        <v>869</v>
      </c>
      <c r="L363" t="s">
        <v>31</v>
      </c>
      <c r="M363" t="s">
        <v>31</v>
      </c>
      <c r="N363">
        <v>0</v>
      </c>
      <c r="O363" t="s">
        <v>59</v>
      </c>
      <c r="P363" t="s">
        <v>631</v>
      </c>
      <c r="Q363" t="s">
        <v>35</v>
      </c>
      <c r="R363" t="s">
        <v>61</v>
      </c>
      <c r="S363" t="s">
        <v>61</v>
      </c>
      <c r="T363">
        <v>60</v>
      </c>
      <c r="U363">
        <v>100</v>
      </c>
      <c r="V363" t="s">
        <v>52</v>
      </c>
      <c r="W363" t="s">
        <v>52</v>
      </c>
      <c r="X363" t="s">
        <v>85</v>
      </c>
      <c r="Y363">
        <v>0</v>
      </c>
      <c r="Z363" t="s">
        <v>40</v>
      </c>
      <c r="AA363">
        <v>0</v>
      </c>
    </row>
    <row r="364" spans="1:27" x14ac:dyDescent="0.25">
      <c r="A364">
        <v>364</v>
      </c>
      <c r="B364" t="s">
        <v>27</v>
      </c>
      <c r="C364">
        <v>620</v>
      </c>
      <c r="D364" t="s">
        <v>53</v>
      </c>
      <c r="E364">
        <v>5118230000180000</v>
      </c>
      <c r="F364">
        <v>5118230000180000</v>
      </c>
      <c r="G364" t="s">
        <v>857</v>
      </c>
      <c r="H364">
        <v>180</v>
      </c>
      <c r="I364">
        <v>6253280180</v>
      </c>
      <c r="J364" t="s">
        <v>30</v>
      </c>
      <c r="K364" t="s">
        <v>870</v>
      </c>
      <c r="L364" t="s">
        <v>31</v>
      </c>
      <c r="M364" t="s">
        <v>31</v>
      </c>
      <c r="N364">
        <v>0</v>
      </c>
      <c r="O364" t="s">
        <v>871</v>
      </c>
      <c r="P364" t="s">
        <v>872</v>
      </c>
      <c r="Q364" t="s">
        <v>35</v>
      </c>
      <c r="R364" t="s">
        <v>61</v>
      </c>
      <c r="S364" t="s">
        <v>31</v>
      </c>
      <c r="T364">
        <v>2</v>
      </c>
      <c r="U364">
        <v>10</v>
      </c>
      <c r="V364" t="s">
        <v>37</v>
      </c>
      <c r="W364" t="s">
        <v>37</v>
      </c>
      <c r="X364" t="s">
        <v>115</v>
      </c>
      <c r="Y364">
        <v>0</v>
      </c>
      <c r="Z364" t="s">
        <v>755</v>
      </c>
      <c r="AA364">
        <v>0</v>
      </c>
    </row>
    <row r="365" spans="1:27" x14ac:dyDescent="0.25">
      <c r="A365">
        <v>365</v>
      </c>
      <c r="B365" t="s">
        <v>27</v>
      </c>
      <c r="C365">
        <v>632</v>
      </c>
      <c r="D365" t="s">
        <v>53</v>
      </c>
      <c r="E365">
        <v>5118230000192000</v>
      </c>
      <c r="F365">
        <v>5118230000192000</v>
      </c>
      <c r="G365" t="s">
        <v>873</v>
      </c>
      <c r="H365">
        <v>192</v>
      </c>
      <c r="I365">
        <v>6253270192</v>
      </c>
      <c r="J365" t="s">
        <v>30</v>
      </c>
      <c r="K365" t="s">
        <v>874</v>
      </c>
      <c r="L365" t="s">
        <v>31</v>
      </c>
      <c r="M365" t="s">
        <v>31</v>
      </c>
      <c r="N365">
        <v>0</v>
      </c>
      <c r="O365" t="s">
        <v>59</v>
      </c>
      <c r="P365" t="s">
        <v>31</v>
      </c>
      <c r="Q365" t="s">
        <v>35</v>
      </c>
      <c r="R365" t="s">
        <v>31</v>
      </c>
      <c r="S365" t="s">
        <v>31</v>
      </c>
      <c r="T365">
        <v>0</v>
      </c>
      <c r="U365">
        <v>5</v>
      </c>
      <c r="V365" t="s">
        <v>52</v>
      </c>
      <c r="W365" t="s">
        <v>37</v>
      </c>
      <c r="X365" t="s">
        <v>39</v>
      </c>
      <c r="Y365">
        <v>0</v>
      </c>
      <c r="Z365" t="s">
        <v>166</v>
      </c>
      <c r="AA365">
        <v>0</v>
      </c>
    </row>
    <row r="366" spans="1:27" x14ac:dyDescent="0.25">
      <c r="A366">
        <v>366</v>
      </c>
      <c r="B366" t="s">
        <v>27</v>
      </c>
      <c r="C366">
        <v>661</v>
      </c>
      <c r="D366" t="s">
        <v>53</v>
      </c>
      <c r="E366">
        <v>5118230000222000</v>
      </c>
      <c r="F366">
        <v>5118230000222000</v>
      </c>
      <c r="G366" t="s">
        <v>875</v>
      </c>
      <c r="H366">
        <v>222</v>
      </c>
      <c r="I366">
        <v>6253330222</v>
      </c>
      <c r="J366" t="s">
        <v>30</v>
      </c>
      <c r="K366" t="s">
        <v>876</v>
      </c>
      <c r="L366" t="s">
        <v>31</v>
      </c>
      <c r="M366" t="s">
        <v>31</v>
      </c>
      <c r="N366">
        <v>0</v>
      </c>
      <c r="O366" t="s">
        <v>59</v>
      </c>
      <c r="P366" t="s">
        <v>729</v>
      </c>
      <c r="Q366" t="s">
        <v>47</v>
      </c>
      <c r="R366" t="s">
        <v>61</v>
      </c>
      <c r="S366" t="s">
        <v>61</v>
      </c>
      <c r="T366">
        <v>0</v>
      </c>
      <c r="U366">
        <v>1</v>
      </c>
      <c r="V366" t="s">
        <v>31</v>
      </c>
      <c r="W366" t="s">
        <v>37</v>
      </c>
      <c r="X366" t="s">
        <v>39</v>
      </c>
      <c r="Y366">
        <v>0</v>
      </c>
      <c r="Z366" t="s">
        <v>40</v>
      </c>
      <c r="AA366">
        <v>0</v>
      </c>
    </row>
    <row r="367" spans="1:27" x14ac:dyDescent="0.25">
      <c r="A367">
        <v>367</v>
      </c>
      <c r="B367" t="s">
        <v>27</v>
      </c>
      <c r="C367">
        <v>921</v>
      </c>
      <c r="D367" t="s">
        <v>53</v>
      </c>
      <c r="E367">
        <v>5118230440000100</v>
      </c>
      <c r="F367">
        <v>5118230440000100</v>
      </c>
      <c r="G367" t="s">
        <v>873</v>
      </c>
      <c r="H367" t="s">
        <v>877</v>
      </c>
      <c r="I367" t="s">
        <v>31</v>
      </c>
      <c r="J367" t="s">
        <v>30</v>
      </c>
      <c r="K367" t="s">
        <v>878</v>
      </c>
      <c r="L367" t="s">
        <v>31</v>
      </c>
      <c r="M367" t="s">
        <v>31</v>
      </c>
      <c r="N367" t="s">
        <v>31</v>
      </c>
      <c r="O367" t="s">
        <v>31</v>
      </c>
      <c r="P367" t="s">
        <v>31</v>
      </c>
      <c r="Q367" t="s">
        <v>31</v>
      </c>
      <c r="R367" t="s">
        <v>31</v>
      </c>
      <c r="S367" t="s">
        <v>31</v>
      </c>
      <c r="T367">
        <v>0</v>
      </c>
      <c r="U367">
        <v>6</v>
      </c>
      <c r="V367" t="s">
        <v>31</v>
      </c>
      <c r="W367" t="s">
        <v>31</v>
      </c>
      <c r="X367" t="s">
        <v>31</v>
      </c>
      <c r="Y367" t="s">
        <v>31</v>
      </c>
      <c r="Z367" t="s">
        <v>31</v>
      </c>
      <c r="AA367">
        <v>0</v>
      </c>
    </row>
    <row r="368" spans="1:27" x14ac:dyDescent="0.25">
      <c r="A368">
        <v>368</v>
      </c>
      <c r="B368" t="s">
        <v>27</v>
      </c>
      <c r="C368">
        <v>586</v>
      </c>
      <c r="D368" t="s">
        <v>53</v>
      </c>
      <c r="E368">
        <v>5118230000146000</v>
      </c>
      <c r="F368">
        <v>5118230000146000</v>
      </c>
      <c r="G368" t="s">
        <v>828</v>
      </c>
      <c r="H368">
        <v>146</v>
      </c>
      <c r="I368">
        <v>6253180146</v>
      </c>
      <c r="J368" t="s">
        <v>30</v>
      </c>
      <c r="K368" t="s">
        <v>879</v>
      </c>
      <c r="L368" t="s">
        <v>31</v>
      </c>
      <c r="M368" t="s">
        <v>31</v>
      </c>
      <c r="N368">
        <v>0</v>
      </c>
      <c r="O368" t="s">
        <v>59</v>
      </c>
      <c r="P368" t="s">
        <v>880</v>
      </c>
      <c r="Q368" t="s">
        <v>47</v>
      </c>
      <c r="R368" t="s">
        <v>61</v>
      </c>
      <c r="S368" t="s">
        <v>61</v>
      </c>
      <c r="T368">
        <v>142</v>
      </c>
      <c r="U368">
        <v>190</v>
      </c>
      <c r="V368" t="s">
        <v>31</v>
      </c>
      <c r="W368" t="s">
        <v>38</v>
      </c>
      <c r="X368" t="s">
        <v>85</v>
      </c>
      <c r="Y368">
        <v>0</v>
      </c>
      <c r="Z368" t="s">
        <v>40</v>
      </c>
      <c r="AA368">
        <v>0</v>
      </c>
    </row>
    <row r="369" spans="1:27" x14ac:dyDescent="0.25">
      <c r="A369">
        <v>369</v>
      </c>
      <c r="B369" t="s">
        <v>27</v>
      </c>
      <c r="C369">
        <v>619</v>
      </c>
      <c r="D369" t="s">
        <v>53</v>
      </c>
      <c r="E369">
        <v>5118230000179000</v>
      </c>
      <c r="F369">
        <v>5118230000179000</v>
      </c>
      <c r="G369" t="s">
        <v>881</v>
      </c>
      <c r="H369">
        <v>179</v>
      </c>
      <c r="I369">
        <v>6253280179</v>
      </c>
      <c r="J369" t="s">
        <v>30</v>
      </c>
      <c r="K369" t="s">
        <v>882</v>
      </c>
      <c r="L369" t="s">
        <v>31</v>
      </c>
      <c r="M369" t="s">
        <v>31</v>
      </c>
      <c r="N369">
        <v>0</v>
      </c>
      <c r="O369" t="s">
        <v>59</v>
      </c>
      <c r="P369" t="s">
        <v>31</v>
      </c>
      <c r="Q369" t="s">
        <v>31</v>
      </c>
      <c r="R369" t="s">
        <v>61</v>
      </c>
      <c r="S369" t="s">
        <v>61</v>
      </c>
      <c r="T369">
        <v>26</v>
      </c>
      <c r="U369">
        <v>25</v>
      </c>
      <c r="V369" t="s">
        <v>31</v>
      </c>
      <c r="W369" t="s">
        <v>52</v>
      </c>
      <c r="X369" t="s">
        <v>39</v>
      </c>
      <c r="Y369">
        <v>0</v>
      </c>
      <c r="Z369" t="s">
        <v>343</v>
      </c>
      <c r="AA369">
        <v>0</v>
      </c>
    </row>
    <row r="370" spans="1:27" x14ac:dyDescent="0.25">
      <c r="A370">
        <v>370</v>
      </c>
      <c r="B370" t="s">
        <v>27</v>
      </c>
      <c r="C370">
        <v>917</v>
      </c>
      <c r="D370" t="s">
        <v>53</v>
      </c>
      <c r="E370">
        <v>5118230430000100</v>
      </c>
      <c r="F370">
        <v>5118230430000100</v>
      </c>
      <c r="G370" t="s">
        <v>883</v>
      </c>
      <c r="H370" t="s">
        <v>884</v>
      </c>
      <c r="I370" t="s">
        <v>31</v>
      </c>
      <c r="J370" t="s">
        <v>30</v>
      </c>
      <c r="K370" t="s">
        <v>885</v>
      </c>
      <c r="L370" t="s">
        <v>31</v>
      </c>
      <c r="M370" t="s">
        <v>31</v>
      </c>
      <c r="N370" t="s">
        <v>31</v>
      </c>
      <c r="O370" t="s">
        <v>31</v>
      </c>
      <c r="P370" t="s">
        <v>31</v>
      </c>
      <c r="Q370" t="s">
        <v>31</v>
      </c>
      <c r="R370" t="s">
        <v>31</v>
      </c>
      <c r="S370" t="s">
        <v>31</v>
      </c>
      <c r="T370">
        <v>16</v>
      </c>
      <c r="U370">
        <v>25</v>
      </c>
      <c r="V370" t="s">
        <v>31</v>
      </c>
      <c r="W370" t="s">
        <v>31</v>
      </c>
      <c r="X370" t="s">
        <v>31</v>
      </c>
      <c r="Y370" t="s">
        <v>31</v>
      </c>
      <c r="Z370" t="s">
        <v>31</v>
      </c>
      <c r="AA370">
        <v>0</v>
      </c>
    </row>
    <row r="371" spans="1:27" x14ac:dyDescent="0.25">
      <c r="A371">
        <v>371</v>
      </c>
      <c r="B371" t="s">
        <v>27</v>
      </c>
      <c r="C371">
        <v>631</v>
      </c>
      <c r="D371" t="s">
        <v>53</v>
      </c>
      <c r="E371">
        <v>5118230000191000</v>
      </c>
      <c r="F371">
        <v>5118230000191000</v>
      </c>
      <c r="G371" t="s">
        <v>886</v>
      </c>
      <c r="H371">
        <v>191</v>
      </c>
      <c r="I371">
        <v>6253270191</v>
      </c>
      <c r="J371" t="s">
        <v>30</v>
      </c>
      <c r="K371" t="s">
        <v>874</v>
      </c>
      <c r="L371" t="s">
        <v>31</v>
      </c>
      <c r="M371" t="s">
        <v>31</v>
      </c>
      <c r="N371">
        <v>0</v>
      </c>
      <c r="O371" t="s">
        <v>59</v>
      </c>
      <c r="P371" t="s">
        <v>31</v>
      </c>
      <c r="Q371" t="s">
        <v>47</v>
      </c>
      <c r="R371" t="s">
        <v>31</v>
      </c>
      <c r="S371" t="s">
        <v>31</v>
      </c>
      <c r="T371">
        <v>58</v>
      </c>
      <c r="U371">
        <v>85</v>
      </c>
      <c r="V371" t="s">
        <v>37</v>
      </c>
      <c r="W371" t="s">
        <v>52</v>
      </c>
      <c r="X371" t="s">
        <v>503</v>
      </c>
      <c r="Y371">
        <v>0</v>
      </c>
      <c r="Z371" t="s">
        <v>40</v>
      </c>
      <c r="AA371">
        <v>7</v>
      </c>
    </row>
    <row r="372" spans="1:27" x14ac:dyDescent="0.25">
      <c r="A372">
        <v>372</v>
      </c>
      <c r="B372" t="s">
        <v>27</v>
      </c>
      <c r="C372">
        <v>923</v>
      </c>
      <c r="D372" t="s">
        <v>53</v>
      </c>
      <c r="E372">
        <v>5118230440020100</v>
      </c>
      <c r="F372">
        <v>5118230440020100</v>
      </c>
      <c r="G372" t="s">
        <v>887</v>
      </c>
      <c r="H372" t="s">
        <v>888</v>
      </c>
      <c r="I372" t="s">
        <v>31</v>
      </c>
      <c r="J372" t="s">
        <v>30</v>
      </c>
      <c r="K372" t="s">
        <v>878</v>
      </c>
      <c r="L372" t="s">
        <v>31</v>
      </c>
      <c r="M372" t="s">
        <v>31</v>
      </c>
      <c r="N372" t="s">
        <v>31</v>
      </c>
      <c r="O372" t="s">
        <v>31</v>
      </c>
      <c r="P372" t="s">
        <v>31</v>
      </c>
      <c r="Q372" t="s">
        <v>31</v>
      </c>
      <c r="R372" t="s">
        <v>31</v>
      </c>
      <c r="S372" t="s">
        <v>31</v>
      </c>
      <c r="T372">
        <v>16</v>
      </c>
      <c r="U372">
        <v>25</v>
      </c>
      <c r="V372" t="s">
        <v>31</v>
      </c>
      <c r="W372" t="s">
        <v>31</v>
      </c>
      <c r="X372" t="s">
        <v>31</v>
      </c>
      <c r="Y372" t="s">
        <v>31</v>
      </c>
      <c r="Z372" t="s">
        <v>31</v>
      </c>
      <c r="AA372">
        <v>0</v>
      </c>
    </row>
    <row r="373" spans="1:27" x14ac:dyDescent="0.25">
      <c r="A373">
        <v>373</v>
      </c>
      <c r="B373" t="s">
        <v>27</v>
      </c>
      <c r="C373">
        <v>630</v>
      </c>
      <c r="D373" t="s">
        <v>53</v>
      </c>
      <c r="E373">
        <v>5118230000190000</v>
      </c>
      <c r="F373">
        <v>5118230000190000</v>
      </c>
      <c r="G373" t="s">
        <v>889</v>
      </c>
      <c r="H373">
        <v>190</v>
      </c>
      <c r="I373">
        <v>6253270190</v>
      </c>
      <c r="J373" t="s">
        <v>30</v>
      </c>
      <c r="K373" t="s">
        <v>890</v>
      </c>
      <c r="L373" t="s">
        <v>31</v>
      </c>
      <c r="M373" t="s">
        <v>31</v>
      </c>
      <c r="N373">
        <v>0</v>
      </c>
      <c r="O373" t="s">
        <v>59</v>
      </c>
      <c r="P373" t="s">
        <v>31</v>
      </c>
      <c r="Q373" t="s">
        <v>31</v>
      </c>
      <c r="R373" t="s">
        <v>61</v>
      </c>
      <c r="S373" t="s">
        <v>61</v>
      </c>
      <c r="T373">
        <v>7</v>
      </c>
      <c r="U373">
        <v>1</v>
      </c>
      <c r="V373" t="s">
        <v>37</v>
      </c>
      <c r="W373" t="s">
        <v>37</v>
      </c>
      <c r="X373" t="s">
        <v>39</v>
      </c>
      <c r="Y373">
        <v>0</v>
      </c>
      <c r="Z373" t="s">
        <v>40</v>
      </c>
      <c r="AA373">
        <v>0</v>
      </c>
    </row>
    <row r="374" spans="1:27" x14ac:dyDescent="0.25">
      <c r="A374">
        <v>374</v>
      </c>
      <c r="B374" t="s">
        <v>27</v>
      </c>
      <c r="C374">
        <v>924</v>
      </c>
      <c r="D374" t="s">
        <v>53</v>
      </c>
      <c r="E374">
        <v>5118230440030100</v>
      </c>
      <c r="F374">
        <v>5118230440030100</v>
      </c>
      <c r="G374" t="s">
        <v>891</v>
      </c>
      <c r="H374" t="s">
        <v>892</v>
      </c>
      <c r="I374" t="s">
        <v>31</v>
      </c>
      <c r="J374" t="s">
        <v>30</v>
      </c>
      <c r="K374" t="s">
        <v>878</v>
      </c>
      <c r="L374" t="s">
        <v>31</v>
      </c>
      <c r="M374" t="s">
        <v>31</v>
      </c>
      <c r="N374" t="s">
        <v>31</v>
      </c>
      <c r="O374" t="s">
        <v>31</v>
      </c>
      <c r="P374" t="s">
        <v>31</v>
      </c>
      <c r="Q374" t="s">
        <v>31</v>
      </c>
      <c r="R374" t="s">
        <v>31</v>
      </c>
      <c r="S374" t="s">
        <v>31</v>
      </c>
      <c r="T374">
        <v>28</v>
      </c>
      <c r="U374">
        <v>37</v>
      </c>
      <c r="V374" t="s">
        <v>31</v>
      </c>
      <c r="W374" t="s">
        <v>31</v>
      </c>
      <c r="X374" t="s">
        <v>31</v>
      </c>
      <c r="Y374" t="s">
        <v>31</v>
      </c>
      <c r="Z374" t="s">
        <v>31</v>
      </c>
      <c r="AA374">
        <v>0</v>
      </c>
    </row>
    <row r="375" spans="1:27" x14ac:dyDescent="0.25">
      <c r="A375">
        <v>375</v>
      </c>
      <c r="B375" t="s">
        <v>27</v>
      </c>
      <c r="C375">
        <v>614</v>
      </c>
      <c r="D375" t="s">
        <v>53</v>
      </c>
      <c r="E375">
        <v>5118230000174000</v>
      </c>
      <c r="F375">
        <v>5118230000174000</v>
      </c>
      <c r="G375" t="s">
        <v>883</v>
      </c>
      <c r="H375">
        <v>174</v>
      </c>
      <c r="I375">
        <v>6253290174</v>
      </c>
      <c r="J375" t="s">
        <v>30</v>
      </c>
      <c r="K375" t="s">
        <v>893</v>
      </c>
      <c r="L375" t="s">
        <v>31</v>
      </c>
      <c r="M375" t="s">
        <v>31</v>
      </c>
      <c r="N375">
        <v>0</v>
      </c>
      <c r="O375" t="s">
        <v>557</v>
      </c>
      <c r="P375" t="s">
        <v>894</v>
      </c>
      <c r="Q375" t="s">
        <v>35</v>
      </c>
      <c r="R375" t="s">
        <v>61</v>
      </c>
      <c r="S375" t="s">
        <v>31</v>
      </c>
      <c r="T375">
        <v>80</v>
      </c>
      <c r="U375">
        <v>100</v>
      </c>
      <c r="V375" t="s">
        <v>37</v>
      </c>
      <c r="W375" t="s">
        <v>52</v>
      </c>
      <c r="X375" t="s">
        <v>411</v>
      </c>
      <c r="Y375">
        <v>0</v>
      </c>
      <c r="Z375" t="s">
        <v>40</v>
      </c>
      <c r="AA375">
        <v>0</v>
      </c>
    </row>
    <row r="376" spans="1:27" x14ac:dyDescent="0.25">
      <c r="A376">
        <v>376</v>
      </c>
      <c r="B376" t="s">
        <v>27</v>
      </c>
      <c r="C376">
        <v>615</v>
      </c>
      <c r="D376" t="s">
        <v>28</v>
      </c>
      <c r="E376">
        <v>5118230000175000</v>
      </c>
      <c r="F376">
        <v>5118230000175000</v>
      </c>
      <c r="G376" t="s">
        <v>895</v>
      </c>
      <c r="H376">
        <v>175</v>
      </c>
      <c r="I376">
        <v>6253290175</v>
      </c>
      <c r="J376" t="s">
        <v>30</v>
      </c>
      <c r="K376" t="s">
        <v>896</v>
      </c>
      <c r="L376" t="s">
        <v>31</v>
      </c>
      <c r="M376" t="s">
        <v>31</v>
      </c>
      <c r="N376">
        <v>0</v>
      </c>
      <c r="O376" t="s">
        <v>33</v>
      </c>
      <c r="P376" t="s">
        <v>894</v>
      </c>
      <c r="Q376" t="s">
        <v>35</v>
      </c>
      <c r="R376" t="s">
        <v>36</v>
      </c>
      <c r="S376" t="s">
        <v>36</v>
      </c>
      <c r="T376">
        <v>8</v>
      </c>
      <c r="U376">
        <v>15</v>
      </c>
      <c r="V376" t="s">
        <v>37</v>
      </c>
      <c r="W376" t="s">
        <v>37</v>
      </c>
      <c r="X376" t="s">
        <v>421</v>
      </c>
      <c r="Y376">
        <v>0</v>
      </c>
      <c r="Z376" t="s">
        <v>40</v>
      </c>
      <c r="AA376">
        <v>0</v>
      </c>
    </row>
    <row r="377" spans="1:27" x14ac:dyDescent="0.25">
      <c r="A377">
        <v>377</v>
      </c>
      <c r="B377" t="s">
        <v>27</v>
      </c>
      <c r="C377">
        <v>638</v>
      </c>
      <c r="D377" t="s">
        <v>53</v>
      </c>
      <c r="E377">
        <v>5118230000198000</v>
      </c>
      <c r="F377">
        <v>5118230000198000</v>
      </c>
      <c r="G377" t="s">
        <v>891</v>
      </c>
      <c r="H377">
        <v>198</v>
      </c>
      <c r="I377">
        <v>6253270198</v>
      </c>
      <c r="J377" t="s">
        <v>30</v>
      </c>
      <c r="K377" t="s">
        <v>897</v>
      </c>
      <c r="L377" t="s">
        <v>31</v>
      </c>
      <c r="M377" t="s">
        <v>31</v>
      </c>
      <c r="N377">
        <v>0</v>
      </c>
      <c r="O377" t="s">
        <v>557</v>
      </c>
      <c r="P377" t="s">
        <v>802</v>
      </c>
      <c r="Q377" t="s">
        <v>47</v>
      </c>
      <c r="R377" t="s">
        <v>61</v>
      </c>
      <c r="S377" t="s">
        <v>61</v>
      </c>
      <c r="T377">
        <v>0</v>
      </c>
      <c r="U377">
        <v>1</v>
      </c>
      <c r="V377" t="s">
        <v>37</v>
      </c>
      <c r="W377" t="s">
        <v>37</v>
      </c>
      <c r="X377" t="s">
        <v>99</v>
      </c>
      <c r="Y377">
        <v>0</v>
      </c>
      <c r="Z377" t="s">
        <v>40</v>
      </c>
      <c r="AA377">
        <v>0</v>
      </c>
    </row>
    <row r="378" spans="1:27" x14ac:dyDescent="0.25">
      <c r="A378">
        <v>378</v>
      </c>
      <c r="B378" t="s">
        <v>27</v>
      </c>
      <c r="C378">
        <v>639</v>
      </c>
      <c r="D378" t="s">
        <v>53</v>
      </c>
      <c r="E378">
        <v>5118230000199000</v>
      </c>
      <c r="F378">
        <v>5118230000199000</v>
      </c>
      <c r="G378" t="s">
        <v>898</v>
      </c>
      <c r="H378">
        <v>199</v>
      </c>
      <c r="I378">
        <v>6253270199</v>
      </c>
      <c r="J378" t="s">
        <v>30</v>
      </c>
      <c r="K378" t="s">
        <v>899</v>
      </c>
      <c r="L378" t="s">
        <v>31</v>
      </c>
      <c r="M378" t="s">
        <v>31</v>
      </c>
      <c r="N378">
        <v>0</v>
      </c>
      <c r="O378" t="s">
        <v>59</v>
      </c>
      <c r="P378" t="s">
        <v>802</v>
      </c>
      <c r="Q378" t="s">
        <v>47</v>
      </c>
      <c r="R378" t="s">
        <v>61</v>
      </c>
      <c r="S378" t="s">
        <v>31</v>
      </c>
      <c r="T378">
        <v>55</v>
      </c>
      <c r="U378">
        <v>55</v>
      </c>
      <c r="V378" t="s">
        <v>31</v>
      </c>
      <c r="W378" t="s">
        <v>52</v>
      </c>
      <c r="X378" t="s">
        <v>39</v>
      </c>
      <c r="Y378">
        <v>0</v>
      </c>
      <c r="Z378" t="s">
        <v>40</v>
      </c>
      <c r="AA378">
        <v>0</v>
      </c>
    </row>
    <row r="379" spans="1:27" x14ac:dyDescent="0.25">
      <c r="A379">
        <v>379</v>
      </c>
      <c r="B379" t="s">
        <v>27</v>
      </c>
      <c r="C379">
        <v>922</v>
      </c>
      <c r="D379" t="s">
        <v>53</v>
      </c>
      <c r="E379">
        <v>5118230440010100</v>
      </c>
      <c r="F379">
        <v>5118230440010100</v>
      </c>
      <c r="G379" t="s">
        <v>898</v>
      </c>
      <c r="H379" t="s">
        <v>900</v>
      </c>
      <c r="I379" t="s">
        <v>31</v>
      </c>
      <c r="J379" t="s">
        <v>30</v>
      </c>
      <c r="K379" t="s">
        <v>901</v>
      </c>
      <c r="L379" t="s">
        <v>31</v>
      </c>
      <c r="M379" t="s">
        <v>31</v>
      </c>
      <c r="N379" t="s">
        <v>31</v>
      </c>
      <c r="O379" t="s">
        <v>31</v>
      </c>
      <c r="P379" t="s">
        <v>31</v>
      </c>
      <c r="Q379" t="s">
        <v>31</v>
      </c>
      <c r="R379" t="s">
        <v>31</v>
      </c>
      <c r="S379" t="s">
        <v>31</v>
      </c>
      <c r="T379">
        <v>31</v>
      </c>
      <c r="U379">
        <v>62</v>
      </c>
      <c r="V379" t="s">
        <v>31</v>
      </c>
      <c r="W379" t="s">
        <v>31</v>
      </c>
      <c r="X379" t="s">
        <v>31</v>
      </c>
      <c r="Y379" t="s">
        <v>31</v>
      </c>
      <c r="Z379" t="s">
        <v>31</v>
      </c>
      <c r="AA379">
        <v>0</v>
      </c>
    </row>
    <row r="380" spans="1:27" x14ac:dyDescent="0.25">
      <c r="A380">
        <v>380</v>
      </c>
      <c r="B380" t="s">
        <v>27</v>
      </c>
      <c r="C380">
        <v>653</v>
      </c>
      <c r="D380" t="s">
        <v>53</v>
      </c>
      <c r="E380">
        <v>5118230000213000</v>
      </c>
      <c r="F380">
        <v>5118230000213000</v>
      </c>
      <c r="G380" t="s">
        <v>902</v>
      </c>
      <c r="H380">
        <v>213</v>
      </c>
      <c r="I380">
        <v>6253340213</v>
      </c>
      <c r="J380" t="s">
        <v>30</v>
      </c>
      <c r="K380" t="s">
        <v>903</v>
      </c>
      <c r="L380" t="s">
        <v>31</v>
      </c>
      <c r="M380" t="s">
        <v>31</v>
      </c>
      <c r="N380">
        <v>0</v>
      </c>
      <c r="O380" t="s">
        <v>59</v>
      </c>
      <c r="P380" t="s">
        <v>802</v>
      </c>
      <c r="Q380" t="s">
        <v>35</v>
      </c>
      <c r="R380" t="s">
        <v>61</v>
      </c>
      <c r="S380" t="s">
        <v>31</v>
      </c>
      <c r="T380">
        <v>8</v>
      </c>
      <c r="U380">
        <v>10</v>
      </c>
      <c r="V380" t="s">
        <v>31</v>
      </c>
      <c r="W380" t="s">
        <v>37</v>
      </c>
      <c r="X380" t="s">
        <v>39</v>
      </c>
      <c r="Y380">
        <v>0</v>
      </c>
      <c r="Z380" t="s">
        <v>40</v>
      </c>
      <c r="AA380">
        <v>2</v>
      </c>
    </row>
    <row r="381" spans="1:27" x14ac:dyDescent="0.25">
      <c r="A381">
        <v>381</v>
      </c>
      <c r="B381" t="s">
        <v>27</v>
      </c>
      <c r="C381">
        <v>925</v>
      </c>
      <c r="D381" t="s">
        <v>53</v>
      </c>
      <c r="E381">
        <v>5118230440040100</v>
      </c>
      <c r="F381">
        <v>5118230440040100</v>
      </c>
      <c r="G381" t="s">
        <v>904</v>
      </c>
      <c r="H381" t="s">
        <v>905</v>
      </c>
      <c r="I381" t="s">
        <v>31</v>
      </c>
      <c r="J381" t="s">
        <v>30</v>
      </c>
      <c r="K381" t="s">
        <v>878</v>
      </c>
      <c r="L381" t="s">
        <v>31</v>
      </c>
      <c r="M381" t="s">
        <v>31</v>
      </c>
      <c r="N381" t="s">
        <v>31</v>
      </c>
      <c r="O381" t="s">
        <v>31</v>
      </c>
      <c r="P381" t="s">
        <v>31</v>
      </c>
      <c r="Q381" t="s">
        <v>31</v>
      </c>
      <c r="R381" t="s">
        <v>31</v>
      </c>
      <c r="S381" t="s">
        <v>31</v>
      </c>
      <c r="T381">
        <v>21</v>
      </c>
      <c r="U381">
        <v>27</v>
      </c>
      <c r="V381" t="s">
        <v>31</v>
      </c>
      <c r="W381" t="s">
        <v>31</v>
      </c>
      <c r="X381" t="s">
        <v>31</v>
      </c>
      <c r="Y381" t="s">
        <v>31</v>
      </c>
      <c r="Z381" t="s">
        <v>31</v>
      </c>
      <c r="AA381">
        <v>0</v>
      </c>
    </row>
    <row r="382" spans="1:27" x14ac:dyDescent="0.25">
      <c r="A382">
        <v>382</v>
      </c>
      <c r="B382" t="s">
        <v>27</v>
      </c>
      <c r="C382">
        <v>633</v>
      </c>
      <c r="D382" t="s">
        <v>53</v>
      </c>
      <c r="E382">
        <v>5118230000193000</v>
      </c>
      <c r="F382">
        <v>5118230000193000</v>
      </c>
      <c r="G382" t="s">
        <v>904</v>
      </c>
      <c r="H382">
        <v>193</v>
      </c>
      <c r="I382">
        <v>6253270193</v>
      </c>
      <c r="J382" t="s">
        <v>30</v>
      </c>
      <c r="K382" t="s">
        <v>906</v>
      </c>
      <c r="L382" t="s">
        <v>31</v>
      </c>
      <c r="M382" t="s">
        <v>31</v>
      </c>
      <c r="N382">
        <v>0</v>
      </c>
      <c r="O382" t="s">
        <v>135</v>
      </c>
      <c r="P382" t="s">
        <v>802</v>
      </c>
      <c r="Q382" t="s">
        <v>47</v>
      </c>
      <c r="R382" t="s">
        <v>61</v>
      </c>
      <c r="S382" t="s">
        <v>61</v>
      </c>
      <c r="T382">
        <v>6</v>
      </c>
      <c r="U382">
        <v>30</v>
      </c>
      <c r="V382" t="s">
        <v>31</v>
      </c>
      <c r="W382" t="s">
        <v>37</v>
      </c>
      <c r="X382" t="s">
        <v>39</v>
      </c>
      <c r="Y382">
        <v>0</v>
      </c>
      <c r="Z382" t="s">
        <v>40</v>
      </c>
      <c r="AA382">
        <v>0</v>
      </c>
    </row>
    <row r="383" spans="1:27" x14ac:dyDescent="0.25">
      <c r="A383">
        <v>383</v>
      </c>
      <c r="B383" t="s">
        <v>27</v>
      </c>
      <c r="C383">
        <v>643</v>
      </c>
      <c r="D383" t="s">
        <v>53</v>
      </c>
      <c r="E383">
        <v>5118230000203000</v>
      </c>
      <c r="F383">
        <v>5118230000203000</v>
      </c>
      <c r="G383" t="s">
        <v>907</v>
      </c>
      <c r="H383">
        <v>203</v>
      </c>
      <c r="I383">
        <v>6253340203</v>
      </c>
      <c r="J383" t="s">
        <v>30</v>
      </c>
      <c r="K383" t="s">
        <v>908</v>
      </c>
      <c r="L383" t="s">
        <v>31</v>
      </c>
      <c r="M383" t="s">
        <v>31</v>
      </c>
      <c r="N383">
        <v>0</v>
      </c>
      <c r="O383" t="s">
        <v>31</v>
      </c>
      <c r="P383" t="s">
        <v>802</v>
      </c>
      <c r="Q383" t="s">
        <v>47</v>
      </c>
      <c r="R383" t="s">
        <v>61</v>
      </c>
      <c r="S383" t="s">
        <v>31</v>
      </c>
      <c r="T383">
        <v>120</v>
      </c>
      <c r="U383">
        <v>150</v>
      </c>
      <c r="V383" t="s">
        <v>31</v>
      </c>
      <c r="W383" t="s">
        <v>38</v>
      </c>
      <c r="X383" t="s">
        <v>39</v>
      </c>
      <c r="Y383">
        <v>0</v>
      </c>
      <c r="Z383" t="s">
        <v>40</v>
      </c>
      <c r="AA383">
        <v>0</v>
      </c>
    </row>
    <row r="384" spans="1:27" x14ac:dyDescent="0.25">
      <c r="A384">
        <v>384</v>
      </c>
      <c r="B384" t="s">
        <v>27</v>
      </c>
      <c r="C384">
        <v>655</v>
      </c>
      <c r="D384" t="s">
        <v>53</v>
      </c>
      <c r="E384">
        <v>5118230000215000</v>
      </c>
      <c r="F384">
        <v>5118230000215000</v>
      </c>
      <c r="G384" t="s">
        <v>909</v>
      </c>
      <c r="H384">
        <v>215</v>
      </c>
      <c r="I384">
        <v>6253350215</v>
      </c>
      <c r="J384" t="s">
        <v>30</v>
      </c>
      <c r="K384" t="s">
        <v>910</v>
      </c>
      <c r="L384" t="s">
        <v>31</v>
      </c>
      <c r="M384" t="s">
        <v>31</v>
      </c>
      <c r="N384">
        <v>0</v>
      </c>
      <c r="O384" t="s">
        <v>59</v>
      </c>
      <c r="P384" t="s">
        <v>911</v>
      </c>
      <c r="Q384" t="s">
        <v>47</v>
      </c>
      <c r="R384" t="s">
        <v>61</v>
      </c>
      <c r="S384" t="s">
        <v>61</v>
      </c>
      <c r="T384">
        <v>520</v>
      </c>
      <c r="U384">
        <v>650</v>
      </c>
      <c r="V384" t="s">
        <v>37</v>
      </c>
      <c r="W384" t="s">
        <v>38</v>
      </c>
      <c r="X384" t="s">
        <v>39</v>
      </c>
      <c r="Y384">
        <v>0</v>
      </c>
      <c r="Z384" t="s">
        <v>40</v>
      </c>
      <c r="AA384">
        <v>0</v>
      </c>
    </row>
    <row r="385" spans="1:27" x14ac:dyDescent="0.25">
      <c r="A385">
        <v>385</v>
      </c>
      <c r="B385" t="s">
        <v>27</v>
      </c>
      <c r="C385">
        <v>859</v>
      </c>
      <c r="D385" t="s">
        <v>53</v>
      </c>
      <c r="E385">
        <v>5118230290110100</v>
      </c>
      <c r="F385">
        <v>5118230290110100</v>
      </c>
      <c r="G385" t="s">
        <v>912</v>
      </c>
      <c r="H385" t="s">
        <v>913</v>
      </c>
      <c r="I385" t="s">
        <v>31</v>
      </c>
      <c r="J385" t="s">
        <v>30</v>
      </c>
      <c r="K385" t="s">
        <v>914</v>
      </c>
      <c r="L385" t="s">
        <v>31</v>
      </c>
      <c r="M385" t="s">
        <v>31</v>
      </c>
      <c r="N385" t="s">
        <v>31</v>
      </c>
      <c r="O385" t="s">
        <v>31</v>
      </c>
      <c r="P385" t="s">
        <v>31</v>
      </c>
      <c r="Q385" t="s">
        <v>31</v>
      </c>
      <c r="R385" t="s">
        <v>31</v>
      </c>
      <c r="S385" t="s">
        <v>31</v>
      </c>
      <c r="T385">
        <v>120</v>
      </c>
      <c r="U385">
        <v>194</v>
      </c>
      <c r="V385" t="s">
        <v>31</v>
      </c>
      <c r="W385" t="s">
        <v>31</v>
      </c>
      <c r="X385" t="s">
        <v>31</v>
      </c>
      <c r="Y385" t="s">
        <v>31</v>
      </c>
      <c r="Z385" t="s">
        <v>31</v>
      </c>
      <c r="AA385">
        <v>0</v>
      </c>
    </row>
    <row r="386" spans="1:27" x14ac:dyDescent="0.25">
      <c r="A386">
        <v>386</v>
      </c>
      <c r="B386" t="s">
        <v>27</v>
      </c>
      <c r="C386">
        <v>644</v>
      </c>
      <c r="D386" t="s">
        <v>53</v>
      </c>
      <c r="E386">
        <v>5118230000204000</v>
      </c>
      <c r="F386">
        <v>5118230000204000</v>
      </c>
      <c r="G386" t="s">
        <v>915</v>
      </c>
      <c r="H386">
        <v>204</v>
      </c>
      <c r="I386">
        <v>6253340204</v>
      </c>
      <c r="J386" t="s">
        <v>30</v>
      </c>
      <c r="K386" t="s">
        <v>916</v>
      </c>
      <c r="L386" t="s">
        <v>31</v>
      </c>
      <c r="M386" t="s">
        <v>31</v>
      </c>
      <c r="N386">
        <v>0</v>
      </c>
      <c r="O386" t="s">
        <v>59</v>
      </c>
      <c r="P386" t="s">
        <v>31</v>
      </c>
      <c r="Q386" t="s">
        <v>35</v>
      </c>
      <c r="R386" t="s">
        <v>61</v>
      </c>
      <c r="S386" t="s">
        <v>61</v>
      </c>
      <c r="T386">
        <v>40</v>
      </c>
      <c r="U386">
        <v>45</v>
      </c>
      <c r="V386" t="s">
        <v>31</v>
      </c>
      <c r="W386" t="s">
        <v>52</v>
      </c>
      <c r="X386" t="s">
        <v>115</v>
      </c>
      <c r="Y386">
        <v>0</v>
      </c>
      <c r="Z386" t="s">
        <v>917</v>
      </c>
      <c r="AA386">
        <v>3</v>
      </c>
    </row>
    <row r="387" spans="1:27" x14ac:dyDescent="0.25">
      <c r="A387">
        <v>387</v>
      </c>
      <c r="B387" t="s">
        <v>27</v>
      </c>
      <c r="C387">
        <v>862</v>
      </c>
      <c r="D387" t="s">
        <v>53</v>
      </c>
      <c r="E387">
        <v>5118230290140100</v>
      </c>
      <c r="F387">
        <v>5118230290140100</v>
      </c>
      <c r="G387" t="s">
        <v>915</v>
      </c>
      <c r="H387" t="s">
        <v>918</v>
      </c>
      <c r="I387" t="s">
        <v>31</v>
      </c>
      <c r="J387" t="s">
        <v>30</v>
      </c>
      <c r="K387" t="s">
        <v>914</v>
      </c>
      <c r="L387" t="s">
        <v>31</v>
      </c>
      <c r="M387" t="s">
        <v>31</v>
      </c>
      <c r="N387" t="s">
        <v>31</v>
      </c>
      <c r="O387" t="s">
        <v>31</v>
      </c>
      <c r="P387" t="s">
        <v>31</v>
      </c>
      <c r="Q387" t="s">
        <v>31</v>
      </c>
      <c r="R387" t="s">
        <v>31</v>
      </c>
      <c r="S387" t="s">
        <v>31</v>
      </c>
      <c r="T387">
        <v>40</v>
      </c>
      <c r="U387">
        <v>60</v>
      </c>
      <c r="V387" t="s">
        <v>31</v>
      </c>
      <c r="W387" t="s">
        <v>31</v>
      </c>
      <c r="X387" t="s">
        <v>31</v>
      </c>
      <c r="Y387" t="s">
        <v>31</v>
      </c>
      <c r="Z387" t="s">
        <v>31</v>
      </c>
      <c r="AA387">
        <v>0</v>
      </c>
    </row>
    <row r="388" spans="1:27" x14ac:dyDescent="0.25">
      <c r="A388">
        <v>388</v>
      </c>
      <c r="B388" t="s">
        <v>27</v>
      </c>
      <c r="C388">
        <v>451</v>
      </c>
      <c r="D388" t="s">
        <v>53</v>
      </c>
      <c r="E388">
        <v>5118230000010000</v>
      </c>
      <c r="F388">
        <v>5118230000010000</v>
      </c>
      <c r="G388" t="s">
        <v>367</v>
      </c>
      <c r="H388">
        <v>10</v>
      </c>
      <c r="I388">
        <v>6253070010</v>
      </c>
      <c r="J388" t="s">
        <v>30</v>
      </c>
      <c r="K388" t="s">
        <v>919</v>
      </c>
      <c r="L388" t="s">
        <v>31</v>
      </c>
      <c r="M388" t="s">
        <v>31</v>
      </c>
      <c r="N388">
        <v>0</v>
      </c>
      <c r="O388" t="s">
        <v>135</v>
      </c>
      <c r="P388" t="s">
        <v>920</v>
      </c>
      <c r="Q388" t="s">
        <v>47</v>
      </c>
      <c r="R388" t="s">
        <v>61</v>
      </c>
      <c r="S388" t="s">
        <v>61</v>
      </c>
      <c r="T388">
        <v>60</v>
      </c>
      <c r="U388">
        <v>150</v>
      </c>
      <c r="V388" t="s">
        <v>37</v>
      </c>
      <c r="W388" t="s">
        <v>52</v>
      </c>
      <c r="X388" t="s">
        <v>85</v>
      </c>
      <c r="Y388">
        <v>0</v>
      </c>
      <c r="Z388" t="s">
        <v>40</v>
      </c>
      <c r="AA388">
        <v>40</v>
      </c>
    </row>
    <row r="389" spans="1:27" x14ac:dyDescent="0.25">
      <c r="A389">
        <v>389</v>
      </c>
      <c r="B389" t="s">
        <v>27</v>
      </c>
      <c r="C389">
        <v>637</v>
      </c>
      <c r="D389" t="s">
        <v>53</v>
      </c>
      <c r="E389">
        <v>5118230000197000</v>
      </c>
      <c r="F389">
        <v>5118230000197000</v>
      </c>
      <c r="G389" t="s">
        <v>921</v>
      </c>
      <c r="H389">
        <v>197</v>
      </c>
      <c r="I389">
        <v>6253270197</v>
      </c>
      <c r="J389" t="s">
        <v>30</v>
      </c>
      <c r="K389" t="s">
        <v>922</v>
      </c>
      <c r="L389" t="s">
        <v>31</v>
      </c>
      <c r="M389" t="s">
        <v>31</v>
      </c>
      <c r="N389">
        <v>0</v>
      </c>
      <c r="O389" t="s">
        <v>59</v>
      </c>
      <c r="P389" t="s">
        <v>802</v>
      </c>
      <c r="Q389" t="s">
        <v>47</v>
      </c>
      <c r="R389" t="s">
        <v>61</v>
      </c>
      <c r="S389" t="s">
        <v>61</v>
      </c>
      <c r="T389">
        <v>70</v>
      </c>
      <c r="U389">
        <v>130</v>
      </c>
      <c r="V389" t="s">
        <v>31</v>
      </c>
      <c r="W389" t="s">
        <v>52</v>
      </c>
      <c r="X389" t="s">
        <v>85</v>
      </c>
      <c r="Y389">
        <v>0</v>
      </c>
      <c r="Z389" t="s">
        <v>40</v>
      </c>
      <c r="AA389">
        <v>0</v>
      </c>
    </row>
    <row r="390" spans="1:27" x14ac:dyDescent="0.25">
      <c r="A390">
        <v>390</v>
      </c>
      <c r="B390" t="s">
        <v>27</v>
      </c>
      <c r="C390">
        <v>926</v>
      </c>
      <c r="D390" t="s">
        <v>53</v>
      </c>
      <c r="E390">
        <v>5118230440050100</v>
      </c>
      <c r="F390">
        <v>5118230440050100</v>
      </c>
      <c r="G390" t="s">
        <v>921</v>
      </c>
      <c r="H390" t="s">
        <v>923</v>
      </c>
      <c r="I390" t="s">
        <v>31</v>
      </c>
      <c r="J390" t="s">
        <v>30</v>
      </c>
      <c r="K390" t="s">
        <v>924</v>
      </c>
      <c r="L390" t="s">
        <v>31</v>
      </c>
      <c r="M390" t="s">
        <v>31</v>
      </c>
      <c r="N390" t="s">
        <v>31</v>
      </c>
      <c r="O390" t="s">
        <v>31</v>
      </c>
      <c r="P390" t="s">
        <v>31</v>
      </c>
      <c r="Q390" t="s">
        <v>31</v>
      </c>
      <c r="R390" t="s">
        <v>31</v>
      </c>
      <c r="S390" t="s">
        <v>31</v>
      </c>
      <c r="T390">
        <v>21</v>
      </c>
      <c r="U390">
        <v>84</v>
      </c>
      <c r="V390" t="s">
        <v>31</v>
      </c>
      <c r="W390" t="s">
        <v>31</v>
      </c>
      <c r="X390" t="s">
        <v>31</v>
      </c>
      <c r="Y390" t="s">
        <v>31</v>
      </c>
      <c r="Z390" t="s">
        <v>31</v>
      </c>
      <c r="AA390">
        <v>0</v>
      </c>
    </row>
    <row r="391" spans="1:27" x14ac:dyDescent="0.25">
      <c r="A391">
        <v>391</v>
      </c>
      <c r="B391" t="s">
        <v>27</v>
      </c>
      <c r="C391">
        <v>814</v>
      </c>
      <c r="D391" t="s">
        <v>53</v>
      </c>
      <c r="E391">
        <v>5118230220050100</v>
      </c>
      <c r="F391">
        <v>5118230220050100</v>
      </c>
      <c r="G391" t="s">
        <v>925</v>
      </c>
      <c r="H391" t="s">
        <v>926</v>
      </c>
      <c r="I391" t="s">
        <v>31</v>
      </c>
      <c r="J391" t="s">
        <v>30</v>
      </c>
      <c r="K391" t="s">
        <v>927</v>
      </c>
      <c r="L391" t="s">
        <v>31</v>
      </c>
      <c r="M391" t="s">
        <v>31</v>
      </c>
      <c r="N391" t="s">
        <v>31</v>
      </c>
      <c r="O391" t="s">
        <v>31</v>
      </c>
      <c r="P391" t="s">
        <v>31</v>
      </c>
      <c r="Q391" t="s">
        <v>31</v>
      </c>
      <c r="R391" t="s">
        <v>31</v>
      </c>
      <c r="S391" t="s">
        <v>31</v>
      </c>
      <c r="T391">
        <v>27</v>
      </c>
      <c r="U391">
        <v>36</v>
      </c>
      <c r="V391" t="s">
        <v>31</v>
      </c>
      <c r="W391" t="s">
        <v>31</v>
      </c>
      <c r="X391" t="s">
        <v>31</v>
      </c>
      <c r="Y391" t="s">
        <v>31</v>
      </c>
      <c r="Z391" t="s">
        <v>31</v>
      </c>
      <c r="AA391">
        <v>0</v>
      </c>
    </row>
    <row r="392" spans="1:27" x14ac:dyDescent="0.25">
      <c r="A392">
        <v>392</v>
      </c>
      <c r="B392" t="s">
        <v>27</v>
      </c>
      <c r="C392">
        <v>858</v>
      </c>
      <c r="D392" t="s">
        <v>53</v>
      </c>
      <c r="E392">
        <v>5118230290100100</v>
      </c>
      <c r="F392">
        <v>5118230290100100</v>
      </c>
      <c r="G392" t="s">
        <v>928</v>
      </c>
      <c r="H392" t="s">
        <v>929</v>
      </c>
      <c r="I392" t="s">
        <v>31</v>
      </c>
      <c r="J392" t="s">
        <v>30</v>
      </c>
      <c r="K392" t="s">
        <v>914</v>
      </c>
      <c r="L392" t="s">
        <v>31</v>
      </c>
      <c r="M392" t="s">
        <v>31</v>
      </c>
      <c r="N392" t="s">
        <v>31</v>
      </c>
      <c r="O392" t="s">
        <v>31</v>
      </c>
      <c r="P392" t="s">
        <v>31</v>
      </c>
      <c r="Q392" t="s">
        <v>31</v>
      </c>
      <c r="R392" t="s">
        <v>31</v>
      </c>
      <c r="S392" t="s">
        <v>31</v>
      </c>
      <c r="T392">
        <v>26</v>
      </c>
      <c r="U392">
        <v>48</v>
      </c>
      <c r="V392" t="s">
        <v>31</v>
      </c>
      <c r="W392" t="s">
        <v>31</v>
      </c>
      <c r="X392" t="s">
        <v>31</v>
      </c>
      <c r="Y392" t="s">
        <v>31</v>
      </c>
      <c r="Z392" t="s">
        <v>31</v>
      </c>
      <c r="AA392">
        <v>0</v>
      </c>
    </row>
    <row r="393" spans="1:27" x14ac:dyDescent="0.25">
      <c r="A393">
        <v>393</v>
      </c>
      <c r="B393" t="s">
        <v>27</v>
      </c>
      <c r="C393">
        <v>640</v>
      </c>
      <c r="D393" t="s">
        <v>53</v>
      </c>
      <c r="E393">
        <v>5118230000200000</v>
      </c>
      <c r="F393">
        <v>5118230000200000</v>
      </c>
      <c r="G393" t="s">
        <v>930</v>
      </c>
      <c r="H393">
        <v>200</v>
      </c>
      <c r="I393">
        <v>6253340200</v>
      </c>
      <c r="J393" t="s">
        <v>30</v>
      </c>
      <c r="K393" t="s">
        <v>931</v>
      </c>
      <c r="L393" t="s">
        <v>31</v>
      </c>
      <c r="M393" t="s">
        <v>31</v>
      </c>
      <c r="N393">
        <v>0</v>
      </c>
      <c r="O393" t="s">
        <v>59</v>
      </c>
      <c r="P393" t="s">
        <v>802</v>
      </c>
      <c r="Q393" t="s">
        <v>47</v>
      </c>
      <c r="R393" t="s">
        <v>61</v>
      </c>
      <c r="S393" t="s">
        <v>61</v>
      </c>
      <c r="T393">
        <v>159</v>
      </c>
      <c r="U393">
        <v>235</v>
      </c>
      <c r="V393" t="s">
        <v>31</v>
      </c>
      <c r="W393" t="s">
        <v>38</v>
      </c>
      <c r="X393" t="s">
        <v>39</v>
      </c>
      <c r="Y393">
        <v>0</v>
      </c>
      <c r="Z393" t="s">
        <v>40</v>
      </c>
      <c r="AA393">
        <v>0</v>
      </c>
    </row>
    <row r="394" spans="1:27" x14ac:dyDescent="0.25">
      <c r="A394">
        <v>394</v>
      </c>
      <c r="B394" t="s">
        <v>27</v>
      </c>
      <c r="C394">
        <v>645</v>
      </c>
      <c r="D394" t="s">
        <v>53</v>
      </c>
      <c r="E394">
        <v>5118230000205000</v>
      </c>
      <c r="F394">
        <v>5118230000205000</v>
      </c>
      <c r="G394" t="s">
        <v>932</v>
      </c>
      <c r="H394">
        <v>205</v>
      </c>
      <c r="I394">
        <v>6253340206</v>
      </c>
      <c r="J394" t="s">
        <v>30</v>
      </c>
      <c r="K394" t="s">
        <v>933</v>
      </c>
      <c r="L394" t="s">
        <v>31</v>
      </c>
      <c r="M394" t="s">
        <v>31</v>
      </c>
      <c r="N394">
        <v>0</v>
      </c>
      <c r="O394" t="s">
        <v>557</v>
      </c>
      <c r="P394" t="s">
        <v>802</v>
      </c>
      <c r="Q394" t="s">
        <v>35</v>
      </c>
      <c r="R394" t="s">
        <v>61</v>
      </c>
      <c r="S394" t="s">
        <v>31</v>
      </c>
      <c r="T394">
        <v>100</v>
      </c>
      <c r="U394">
        <v>60</v>
      </c>
      <c r="V394" t="s">
        <v>37</v>
      </c>
      <c r="W394" t="s">
        <v>52</v>
      </c>
      <c r="X394" t="s">
        <v>160</v>
      </c>
      <c r="Y394">
        <v>0</v>
      </c>
      <c r="Z394" t="s">
        <v>40</v>
      </c>
      <c r="AA394">
        <v>0</v>
      </c>
    </row>
    <row r="395" spans="1:27" x14ac:dyDescent="0.25">
      <c r="A395">
        <v>395</v>
      </c>
      <c r="B395" t="s">
        <v>27</v>
      </c>
      <c r="C395">
        <v>625</v>
      </c>
      <c r="D395" t="s">
        <v>53</v>
      </c>
      <c r="E395">
        <v>5118230000185000</v>
      </c>
      <c r="F395">
        <v>5118230000185000</v>
      </c>
      <c r="G395" t="s">
        <v>934</v>
      </c>
      <c r="H395">
        <v>185</v>
      </c>
      <c r="I395">
        <v>6253260185</v>
      </c>
      <c r="J395" t="s">
        <v>30</v>
      </c>
      <c r="K395" t="s">
        <v>935</v>
      </c>
      <c r="L395" t="s">
        <v>31</v>
      </c>
      <c r="M395" t="s">
        <v>31</v>
      </c>
      <c r="N395">
        <v>0</v>
      </c>
      <c r="O395" t="s">
        <v>59</v>
      </c>
      <c r="P395" t="s">
        <v>31</v>
      </c>
      <c r="Q395" t="s">
        <v>47</v>
      </c>
      <c r="R395" t="s">
        <v>61</v>
      </c>
      <c r="S395" t="s">
        <v>61</v>
      </c>
      <c r="T395">
        <v>23</v>
      </c>
      <c r="U395">
        <v>60</v>
      </c>
      <c r="V395" t="s">
        <v>31</v>
      </c>
      <c r="W395" t="s">
        <v>52</v>
      </c>
      <c r="X395" t="s">
        <v>39</v>
      </c>
      <c r="Y395">
        <v>0</v>
      </c>
      <c r="Z395" t="s">
        <v>40</v>
      </c>
      <c r="AA395">
        <v>0</v>
      </c>
    </row>
    <row r="396" spans="1:27" x14ac:dyDescent="0.25">
      <c r="A396">
        <v>396</v>
      </c>
      <c r="B396" t="s">
        <v>27</v>
      </c>
      <c r="C396">
        <v>856</v>
      </c>
      <c r="D396" t="s">
        <v>53</v>
      </c>
      <c r="E396">
        <v>5118230290080100</v>
      </c>
      <c r="F396">
        <v>5118230290080100</v>
      </c>
      <c r="G396" t="s">
        <v>932</v>
      </c>
      <c r="H396" t="s">
        <v>936</v>
      </c>
      <c r="I396" t="s">
        <v>31</v>
      </c>
      <c r="J396" t="s">
        <v>30</v>
      </c>
      <c r="K396" t="s">
        <v>937</v>
      </c>
      <c r="L396" t="s">
        <v>31</v>
      </c>
      <c r="M396" t="s">
        <v>31</v>
      </c>
      <c r="N396" t="s">
        <v>31</v>
      </c>
      <c r="O396" t="s">
        <v>31</v>
      </c>
      <c r="P396" t="s">
        <v>31</v>
      </c>
      <c r="Q396" t="s">
        <v>31</v>
      </c>
      <c r="R396" t="s">
        <v>31</v>
      </c>
      <c r="S396" t="s">
        <v>31</v>
      </c>
      <c r="T396">
        <v>108</v>
      </c>
      <c r="U396">
        <v>133</v>
      </c>
      <c r="V396" t="s">
        <v>31</v>
      </c>
      <c r="W396" t="s">
        <v>31</v>
      </c>
      <c r="X396" t="s">
        <v>31</v>
      </c>
      <c r="Y396" t="s">
        <v>31</v>
      </c>
      <c r="Z396" t="s">
        <v>31</v>
      </c>
      <c r="AA396">
        <v>0</v>
      </c>
    </row>
    <row r="397" spans="1:27" x14ac:dyDescent="0.25">
      <c r="A397">
        <v>397</v>
      </c>
      <c r="B397" t="s">
        <v>27</v>
      </c>
      <c r="C397">
        <v>855</v>
      </c>
      <c r="D397" t="s">
        <v>53</v>
      </c>
      <c r="E397">
        <v>5118230290070100</v>
      </c>
      <c r="F397">
        <v>5118230290070100</v>
      </c>
      <c r="G397" t="s">
        <v>938</v>
      </c>
      <c r="H397" t="s">
        <v>939</v>
      </c>
      <c r="I397" t="s">
        <v>31</v>
      </c>
      <c r="J397" t="s">
        <v>30</v>
      </c>
      <c r="K397" t="s">
        <v>937</v>
      </c>
      <c r="L397" t="s">
        <v>31</v>
      </c>
      <c r="M397" t="s">
        <v>31</v>
      </c>
      <c r="N397" t="s">
        <v>31</v>
      </c>
      <c r="O397" t="s">
        <v>31</v>
      </c>
      <c r="P397" t="s">
        <v>31</v>
      </c>
      <c r="Q397" t="s">
        <v>31</v>
      </c>
      <c r="R397" t="s">
        <v>31</v>
      </c>
      <c r="S397" t="s">
        <v>31</v>
      </c>
      <c r="T397">
        <v>30</v>
      </c>
      <c r="U397">
        <v>50</v>
      </c>
      <c r="V397" t="s">
        <v>31</v>
      </c>
      <c r="W397" t="s">
        <v>31</v>
      </c>
      <c r="X397" t="s">
        <v>31</v>
      </c>
      <c r="Y397" t="s">
        <v>31</v>
      </c>
      <c r="Z397" t="s">
        <v>31</v>
      </c>
      <c r="AA397">
        <v>0</v>
      </c>
    </row>
    <row r="398" spans="1:27" x14ac:dyDescent="0.25">
      <c r="A398">
        <v>398</v>
      </c>
      <c r="B398" t="s">
        <v>27</v>
      </c>
      <c r="C398">
        <v>642</v>
      </c>
      <c r="D398" t="s">
        <v>53</v>
      </c>
      <c r="E398">
        <v>5118230000202000</v>
      </c>
      <c r="F398">
        <v>5118230000202000</v>
      </c>
      <c r="G398" t="s">
        <v>940</v>
      </c>
      <c r="H398">
        <v>202</v>
      </c>
      <c r="I398">
        <v>6253340202</v>
      </c>
      <c r="J398" t="s">
        <v>30</v>
      </c>
      <c r="K398" t="s">
        <v>941</v>
      </c>
      <c r="L398" t="s">
        <v>31</v>
      </c>
      <c r="M398" t="s">
        <v>31</v>
      </c>
      <c r="N398">
        <v>0</v>
      </c>
      <c r="O398" t="s">
        <v>59</v>
      </c>
      <c r="P398" t="s">
        <v>802</v>
      </c>
      <c r="Q398" t="s">
        <v>47</v>
      </c>
      <c r="R398" t="s">
        <v>61</v>
      </c>
      <c r="S398" t="s">
        <v>61</v>
      </c>
      <c r="T398">
        <v>11</v>
      </c>
      <c r="U398">
        <v>1</v>
      </c>
      <c r="V398" t="s">
        <v>31</v>
      </c>
      <c r="W398" t="s">
        <v>52</v>
      </c>
      <c r="X398" t="s">
        <v>39</v>
      </c>
      <c r="Y398">
        <v>0</v>
      </c>
      <c r="Z398" t="s">
        <v>40</v>
      </c>
      <c r="AA398">
        <v>0</v>
      </c>
    </row>
    <row r="399" spans="1:27" x14ac:dyDescent="0.25">
      <c r="A399">
        <v>399</v>
      </c>
      <c r="B399" t="s">
        <v>27</v>
      </c>
      <c r="C399">
        <v>646</v>
      </c>
      <c r="D399" t="s">
        <v>53</v>
      </c>
      <c r="E399">
        <v>5118230000206000</v>
      </c>
      <c r="F399">
        <v>5118230000206000</v>
      </c>
      <c r="G399" t="s">
        <v>938</v>
      </c>
      <c r="H399">
        <v>206</v>
      </c>
      <c r="I399">
        <v>6253340205</v>
      </c>
      <c r="J399" t="s">
        <v>30</v>
      </c>
      <c r="K399" t="s">
        <v>933</v>
      </c>
      <c r="L399" t="s">
        <v>31</v>
      </c>
      <c r="M399" t="s">
        <v>31</v>
      </c>
      <c r="N399">
        <v>0</v>
      </c>
      <c r="O399" t="s">
        <v>59</v>
      </c>
      <c r="P399" t="s">
        <v>802</v>
      </c>
      <c r="Q399" t="s">
        <v>35</v>
      </c>
      <c r="R399" t="s">
        <v>61</v>
      </c>
      <c r="S399" t="s">
        <v>31</v>
      </c>
      <c r="T399">
        <v>30</v>
      </c>
      <c r="U399">
        <v>50</v>
      </c>
      <c r="V399" t="s">
        <v>52</v>
      </c>
      <c r="W399" t="s">
        <v>52</v>
      </c>
      <c r="X399" t="s">
        <v>39</v>
      </c>
      <c r="Y399">
        <v>0</v>
      </c>
      <c r="Z399" t="s">
        <v>40</v>
      </c>
      <c r="AA399">
        <v>0</v>
      </c>
    </row>
    <row r="400" spans="1:27" x14ac:dyDescent="0.25">
      <c r="A400">
        <v>400</v>
      </c>
      <c r="B400" t="s">
        <v>27</v>
      </c>
      <c r="C400">
        <v>845</v>
      </c>
      <c r="D400" t="s">
        <v>53</v>
      </c>
      <c r="E400">
        <v>5118230280000100</v>
      </c>
      <c r="F400">
        <v>5118230280000100</v>
      </c>
      <c r="G400" t="s">
        <v>866</v>
      </c>
      <c r="H400" t="s">
        <v>942</v>
      </c>
      <c r="I400" t="s">
        <v>31</v>
      </c>
      <c r="J400" t="s">
        <v>30</v>
      </c>
      <c r="K400" t="s">
        <v>943</v>
      </c>
      <c r="L400" t="s">
        <v>31</v>
      </c>
      <c r="M400" t="s">
        <v>31</v>
      </c>
      <c r="N400" t="s">
        <v>31</v>
      </c>
      <c r="O400" t="s">
        <v>31</v>
      </c>
      <c r="P400" t="s">
        <v>31</v>
      </c>
      <c r="Q400" t="s">
        <v>31</v>
      </c>
      <c r="R400" t="s">
        <v>31</v>
      </c>
      <c r="S400" t="s">
        <v>31</v>
      </c>
      <c r="T400">
        <v>115</v>
      </c>
      <c r="U400">
        <v>139</v>
      </c>
      <c r="V400" t="s">
        <v>31</v>
      </c>
      <c r="W400" t="s">
        <v>31</v>
      </c>
      <c r="X400" t="s">
        <v>31</v>
      </c>
      <c r="Y400" t="s">
        <v>31</v>
      </c>
      <c r="Z400" t="s">
        <v>31</v>
      </c>
      <c r="AA400">
        <v>0</v>
      </c>
    </row>
    <row r="401" spans="1:27" x14ac:dyDescent="0.25">
      <c r="A401">
        <v>401</v>
      </c>
      <c r="B401" t="s">
        <v>27</v>
      </c>
      <c r="C401">
        <v>860</v>
      </c>
      <c r="D401" t="s">
        <v>53</v>
      </c>
      <c r="E401">
        <v>5118230290120100</v>
      </c>
      <c r="F401">
        <v>5118230290120100</v>
      </c>
      <c r="G401" t="s">
        <v>940</v>
      </c>
      <c r="H401" t="s">
        <v>944</v>
      </c>
      <c r="I401" t="s">
        <v>31</v>
      </c>
      <c r="J401" t="s">
        <v>30</v>
      </c>
      <c r="K401" t="s">
        <v>914</v>
      </c>
      <c r="L401" t="s">
        <v>31</v>
      </c>
      <c r="M401" t="s">
        <v>31</v>
      </c>
      <c r="N401" t="s">
        <v>31</v>
      </c>
      <c r="O401" t="s">
        <v>31</v>
      </c>
      <c r="P401" t="s">
        <v>31</v>
      </c>
      <c r="Q401" t="s">
        <v>31</v>
      </c>
      <c r="R401" t="s">
        <v>31</v>
      </c>
      <c r="S401" t="s">
        <v>31</v>
      </c>
      <c r="T401">
        <v>35</v>
      </c>
      <c r="U401">
        <v>52</v>
      </c>
      <c r="V401" t="s">
        <v>31</v>
      </c>
      <c r="W401" t="s">
        <v>31</v>
      </c>
      <c r="X401" t="s">
        <v>31</v>
      </c>
      <c r="Y401" t="s">
        <v>31</v>
      </c>
      <c r="Z401" t="s">
        <v>31</v>
      </c>
      <c r="AA401">
        <v>0</v>
      </c>
    </row>
    <row r="402" spans="1:27" x14ac:dyDescent="0.25">
      <c r="A402">
        <v>402</v>
      </c>
      <c r="B402" t="s">
        <v>27</v>
      </c>
      <c r="C402">
        <v>813</v>
      </c>
      <c r="D402" t="s">
        <v>53</v>
      </c>
      <c r="E402">
        <v>5118230220040100</v>
      </c>
      <c r="F402">
        <v>5118230220040100</v>
      </c>
      <c r="G402" t="s">
        <v>945</v>
      </c>
      <c r="H402" t="s">
        <v>946</v>
      </c>
      <c r="I402" t="s">
        <v>31</v>
      </c>
      <c r="J402" t="s">
        <v>30</v>
      </c>
      <c r="K402" t="s">
        <v>947</v>
      </c>
      <c r="L402" t="s">
        <v>31</v>
      </c>
      <c r="M402" t="s">
        <v>31</v>
      </c>
      <c r="N402" t="s">
        <v>31</v>
      </c>
      <c r="O402" t="s">
        <v>31</v>
      </c>
      <c r="P402" t="s">
        <v>31</v>
      </c>
      <c r="Q402" t="s">
        <v>31</v>
      </c>
      <c r="R402" t="s">
        <v>31</v>
      </c>
      <c r="S402" t="s">
        <v>31</v>
      </c>
      <c r="T402">
        <v>52</v>
      </c>
      <c r="U402">
        <v>68</v>
      </c>
      <c r="V402" t="s">
        <v>31</v>
      </c>
      <c r="W402" t="s">
        <v>31</v>
      </c>
      <c r="X402" t="s">
        <v>31</v>
      </c>
      <c r="Y402" t="s">
        <v>31</v>
      </c>
      <c r="Z402" t="s">
        <v>31</v>
      </c>
      <c r="AA402">
        <v>0</v>
      </c>
    </row>
    <row r="403" spans="1:27" x14ac:dyDescent="0.25">
      <c r="A403">
        <v>403</v>
      </c>
      <c r="B403" t="s">
        <v>27</v>
      </c>
      <c r="C403">
        <v>627</v>
      </c>
      <c r="D403" t="s">
        <v>53</v>
      </c>
      <c r="E403">
        <v>5118230000187000</v>
      </c>
      <c r="F403">
        <v>5118230000187000</v>
      </c>
      <c r="G403" t="s">
        <v>945</v>
      </c>
      <c r="H403">
        <v>187</v>
      </c>
      <c r="I403">
        <v>6253260187</v>
      </c>
      <c r="J403" t="s">
        <v>30</v>
      </c>
      <c r="K403" t="s">
        <v>948</v>
      </c>
      <c r="L403" t="s">
        <v>31</v>
      </c>
      <c r="M403" t="s">
        <v>31</v>
      </c>
      <c r="N403">
        <v>0</v>
      </c>
      <c r="O403" t="s">
        <v>59</v>
      </c>
      <c r="P403" t="s">
        <v>31</v>
      </c>
      <c r="Q403" t="s">
        <v>47</v>
      </c>
      <c r="R403" t="s">
        <v>61</v>
      </c>
      <c r="S403" t="s">
        <v>61</v>
      </c>
      <c r="T403">
        <v>53</v>
      </c>
      <c r="U403">
        <v>120</v>
      </c>
      <c r="V403" t="s">
        <v>31</v>
      </c>
      <c r="W403" t="s">
        <v>52</v>
      </c>
      <c r="X403" t="s">
        <v>85</v>
      </c>
      <c r="Y403">
        <v>0</v>
      </c>
      <c r="Z403" t="s">
        <v>166</v>
      </c>
      <c r="AA403">
        <v>3</v>
      </c>
    </row>
    <row r="404" spans="1:27" x14ac:dyDescent="0.25">
      <c r="A404">
        <v>404</v>
      </c>
      <c r="B404" t="s">
        <v>27</v>
      </c>
      <c r="C404">
        <v>641</v>
      </c>
      <c r="D404" t="s">
        <v>53</v>
      </c>
      <c r="E404">
        <v>5118230000201000</v>
      </c>
      <c r="F404">
        <v>5118230000201000</v>
      </c>
      <c r="G404" t="s">
        <v>949</v>
      </c>
      <c r="H404">
        <v>201</v>
      </c>
      <c r="I404">
        <v>6253340201</v>
      </c>
      <c r="J404" t="s">
        <v>30</v>
      </c>
      <c r="K404" t="s">
        <v>950</v>
      </c>
      <c r="L404" t="s">
        <v>31</v>
      </c>
      <c r="M404" t="s">
        <v>31</v>
      </c>
      <c r="N404">
        <v>0</v>
      </c>
      <c r="O404" t="s">
        <v>59</v>
      </c>
      <c r="P404" t="s">
        <v>802</v>
      </c>
      <c r="Q404" t="s">
        <v>47</v>
      </c>
      <c r="R404" t="s">
        <v>61</v>
      </c>
      <c r="S404" t="s">
        <v>31</v>
      </c>
      <c r="T404">
        <v>105</v>
      </c>
      <c r="U404">
        <v>140</v>
      </c>
      <c r="V404" t="s">
        <v>37</v>
      </c>
      <c r="W404" t="s">
        <v>38</v>
      </c>
      <c r="X404" t="s">
        <v>115</v>
      </c>
      <c r="Y404">
        <v>0</v>
      </c>
      <c r="Z404" t="s">
        <v>755</v>
      </c>
      <c r="AA404">
        <v>0</v>
      </c>
    </row>
    <row r="405" spans="1:27" x14ac:dyDescent="0.25">
      <c r="A405">
        <v>405</v>
      </c>
      <c r="B405" t="s">
        <v>27</v>
      </c>
      <c r="C405">
        <v>812</v>
      </c>
      <c r="D405" t="s">
        <v>53</v>
      </c>
      <c r="E405">
        <v>5118230220030100</v>
      </c>
      <c r="F405">
        <v>5118230220030100</v>
      </c>
      <c r="G405" t="s">
        <v>951</v>
      </c>
      <c r="H405" t="s">
        <v>952</v>
      </c>
      <c r="I405" t="s">
        <v>31</v>
      </c>
      <c r="J405" t="s">
        <v>30</v>
      </c>
      <c r="K405" t="s">
        <v>947</v>
      </c>
      <c r="L405" t="s">
        <v>31</v>
      </c>
      <c r="M405" t="s">
        <v>31</v>
      </c>
      <c r="N405" t="s">
        <v>31</v>
      </c>
      <c r="O405" t="s">
        <v>31</v>
      </c>
      <c r="P405" t="s">
        <v>31</v>
      </c>
      <c r="Q405" t="s">
        <v>31</v>
      </c>
      <c r="R405" t="s">
        <v>31</v>
      </c>
      <c r="S405" t="s">
        <v>31</v>
      </c>
      <c r="T405">
        <v>222</v>
      </c>
      <c r="U405">
        <v>275</v>
      </c>
      <c r="V405" t="s">
        <v>31</v>
      </c>
      <c r="W405" t="s">
        <v>31</v>
      </c>
      <c r="X405" t="s">
        <v>31</v>
      </c>
      <c r="Y405" t="s">
        <v>31</v>
      </c>
      <c r="Z405" t="s">
        <v>31</v>
      </c>
      <c r="AA405">
        <v>0</v>
      </c>
    </row>
    <row r="406" spans="1:27" x14ac:dyDescent="0.25">
      <c r="A406">
        <v>406</v>
      </c>
      <c r="B406" t="s">
        <v>27</v>
      </c>
      <c r="C406">
        <v>626</v>
      </c>
      <c r="D406" t="s">
        <v>53</v>
      </c>
      <c r="E406">
        <v>5118230000186000</v>
      </c>
      <c r="F406">
        <v>5118230000186000</v>
      </c>
      <c r="G406" t="s">
        <v>953</v>
      </c>
      <c r="H406">
        <v>186</v>
      </c>
      <c r="I406">
        <v>6253260186</v>
      </c>
      <c r="J406" t="s">
        <v>30</v>
      </c>
      <c r="K406" t="s">
        <v>954</v>
      </c>
      <c r="L406" t="s">
        <v>31</v>
      </c>
      <c r="M406" t="s">
        <v>31</v>
      </c>
      <c r="N406">
        <v>0</v>
      </c>
      <c r="O406" t="s">
        <v>59</v>
      </c>
      <c r="P406" t="s">
        <v>802</v>
      </c>
      <c r="Q406" t="s">
        <v>35</v>
      </c>
      <c r="R406" t="s">
        <v>61</v>
      </c>
      <c r="S406" t="s">
        <v>31</v>
      </c>
      <c r="T406">
        <v>0</v>
      </c>
      <c r="U406">
        <v>240</v>
      </c>
      <c r="V406" t="s">
        <v>31</v>
      </c>
      <c r="W406" t="s">
        <v>37</v>
      </c>
      <c r="X406" t="s">
        <v>39</v>
      </c>
      <c r="Y406">
        <v>0</v>
      </c>
      <c r="Z406" t="s">
        <v>166</v>
      </c>
      <c r="AA406">
        <v>0</v>
      </c>
    </row>
    <row r="407" spans="1:27" x14ac:dyDescent="0.25">
      <c r="A407">
        <v>407</v>
      </c>
      <c r="B407" t="s">
        <v>27</v>
      </c>
      <c r="C407">
        <v>659</v>
      </c>
      <c r="D407" t="s">
        <v>53</v>
      </c>
      <c r="E407">
        <v>5118230000220000</v>
      </c>
      <c r="F407">
        <v>5118230000220000</v>
      </c>
      <c r="G407" t="s">
        <v>955</v>
      </c>
      <c r="H407">
        <v>220</v>
      </c>
      <c r="I407">
        <v>6253320220</v>
      </c>
      <c r="J407" t="s">
        <v>30</v>
      </c>
      <c r="K407" t="s">
        <v>956</v>
      </c>
      <c r="L407" t="s">
        <v>31</v>
      </c>
      <c r="M407" t="s">
        <v>31</v>
      </c>
      <c r="N407">
        <v>0</v>
      </c>
      <c r="O407" t="s">
        <v>59</v>
      </c>
      <c r="P407" t="s">
        <v>911</v>
      </c>
      <c r="Q407" t="s">
        <v>47</v>
      </c>
      <c r="R407" t="s">
        <v>61</v>
      </c>
      <c r="S407" t="s">
        <v>61</v>
      </c>
      <c r="T407">
        <v>214</v>
      </c>
      <c r="U407">
        <v>270</v>
      </c>
      <c r="V407" t="s">
        <v>37</v>
      </c>
      <c r="W407" t="s">
        <v>38</v>
      </c>
      <c r="X407" t="s">
        <v>39</v>
      </c>
      <c r="Y407">
        <v>0</v>
      </c>
      <c r="Z407" t="s">
        <v>40</v>
      </c>
      <c r="AA407">
        <v>0</v>
      </c>
    </row>
    <row r="408" spans="1:27" x14ac:dyDescent="0.25">
      <c r="A408">
        <v>408</v>
      </c>
      <c r="B408" t="s">
        <v>27</v>
      </c>
      <c r="C408">
        <v>658</v>
      </c>
      <c r="D408" t="s">
        <v>53</v>
      </c>
      <c r="E408">
        <v>5118230000219000</v>
      </c>
      <c r="F408">
        <v>5118230000219000</v>
      </c>
      <c r="G408" t="s">
        <v>957</v>
      </c>
      <c r="H408">
        <v>219</v>
      </c>
      <c r="I408">
        <v>6253320219</v>
      </c>
      <c r="J408" t="s">
        <v>30</v>
      </c>
      <c r="K408" t="s">
        <v>958</v>
      </c>
      <c r="L408" t="s">
        <v>31</v>
      </c>
      <c r="M408" t="s">
        <v>31</v>
      </c>
      <c r="N408">
        <v>0</v>
      </c>
      <c r="O408" t="s">
        <v>59</v>
      </c>
      <c r="P408" t="s">
        <v>911</v>
      </c>
      <c r="Q408" t="s">
        <v>47</v>
      </c>
      <c r="R408" t="s">
        <v>61</v>
      </c>
      <c r="S408" t="s">
        <v>61</v>
      </c>
      <c r="T408">
        <v>52</v>
      </c>
      <c r="U408">
        <v>60</v>
      </c>
      <c r="V408" t="s">
        <v>31</v>
      </c>
      <c r="W408" t="s">
        <v>52</v>
      </c>
      <c r="X408" t="s">
        <v>115</v>
      </c>
      <c r="Y408">
        <v>0</v>
      </c>
      <c r="Z408" t="s">
        <v>959</v>
      </c>
      <c r="AA408">
        <v>0</v>
      </c>
    </row>
    <row r="409" spans="1:27" x14ac:dyDescent="0.25">
      <c r="A409">
        <v>409</v>
      </c>
      <c r="B409" t="s">
        <v>27</v>
      </c>
      <c r="C409">
        <v>843</v>
      </c>
      <c r="D409" t="s">
        <v>53</v>
      </c>
      <c r="E409">
        <v>5118230270000100</v>
      </c>
      <c r="F409">
        <v>5118230270000100</v>
      </c>
      <c r="G409" t="s">
        <v>957</v>
      </c>
      <c r="H409" t="s">
        <v>960</v>
      </c>
      <c r="I409" t="s">
        <v>31</v>
      </c>
      <c r="J409" t="s">
        <v>30</v>
      </c>
      <c r="K409" t="s">
        <v>961</v>
      </c>
      <c r="L409" t="s">
        <v>31</v>
      </c>
      <c r="M409" t="s">
        <v>31</v>
      </c>
      <c r="N409" t="s">
        <v>31</v>
      </c>
      <c r="O409" t="s">
        <v>31</v>
      </c>
      <c r="P409" t="s">
        <v>31</v>
      </c>
      <c r="Q409" t="s">
        <v>31</v>
      </c>
      <c r="R409" t="s">
        <v>31</v>
      </c>
      <c r="S409" t="s">
        <v>31</v>
      </c>
      <c r="T409">
        <v>54</v>
      </c>
      <c r="U409">
        <v>66</v>
      </c>
      <c r="V409" t="s">
        <v>31</v>
      </c>
      <c r="W409" t="s">
        <v>31</v>
      </c>
      <c r="X409" t="s">
        <v>31</v>
      </c>
      <c r="Y409" t="s">
        <v>31</v>
      </c>
      <c r="Z409" t="s">
        <v>31</v>
      </c>
      <c r="AA409">
        <v>0</v>
      </c>
    </row>
    <row r="410" spans="1:27" x14ac:dyDescent="0.25">
      <c r="A410">
        <v>410</v>
      </c>
      <c r="B410" t="s">
        <v>27</v>
      </c>
      <c r="C410">
        <v>844</v>
      </c>
      <c r="D410" t="s">
        <v>53</v>
      </c>
      <c r="E410">
        <v>5118230270010100</v>
      </c>
      <c r="F410">
        <v>5118230270010100</v>
      </c>
      <c r="G410" t="s">
        <v>955</v>
      </c>
      <c r="H410" t="s">
        <v>962</v>
      </c>
      <c r="I410" t="s">
        <v>31</v>
      </c>
      <c r="J410" t="s">
        <v>30</v>
      </c>
      <c r="K410" t="s">
        <v>963</v>
      </c>
      <c r="L410" t="s">
        <v>31</v>
      </c>
      <c r="M410" t="s">
        <v>31</v>
      </c>
      <c r="N410" t="s">
        <v>31</v>
      </c>
      <c r="O410" t="s">
        <v>31</v>
      </c>
      <c r="P410" t="s">
        <v>31</v>
      </c>
      <c r="Q410" t="s">
        <v>31</v>
      </c>
      <c r="R410" t="s">
        <v>31</v>
      </c>
      <c r="S410" t="s">
        <v>31</v>
      </c>
      <c r="T410">
        <v>214</v>
      </c>
      <c r="U410">
        <v>281</v>
      </c>
      <c r="V410" t="s">
        <v>31</v>
      </c>
      <c r="W410" t="s">
        <v>31</v>
      </c>
      <c r="X410" t="s">
        <v>31</v>
      </c>
      <c r="Y410" t="s">
        <v>31</v>
      </c>
      <c r="Z410" t="s">
        <v>31</v>
      </c>
      <c r="AA410">
        <v>0</v>
      </c>
    </row>
    <row r="411" spans="1:27" x14ac:dyDescent="0.25">
      <c r="A411">
        <v>411</v>
      </c>
      <c r="B411" t="s">
        <v>27</v>
      </c>
      <c r="C411">
        <v>846</v>
      </c>
      <c r="D411" t="s">
        <v>53</v>
      </c>
      <c r="E411">
        <v>5118230280010100</v>
      </c>
      <c r="F411">
        <v>5118230280010100</v>
      </c>
      <c r="G411" t="s">
        <v>875</v>
      </c>
      <c r="H411" t="s">
        <v>964</v>
      </c>
      <c r="I411" t="s">
        <v>31</v>
      </c>
      <c r="J411" t="s">
        <v>30</v>
      </c>
      <c r="K411" t="s">
        <v>965</v>
      </c>
      <c r="L411" t="s">
        <v>31</v>
      </c>
      <c r="M411" t="s">
        <v>31</v>
      </c>
      <c r="N411" t="s">
        <v>31</v>
      </c>
      <c r="O411" t="s">
        <v>31</v>
      </c>
      <c r="P411" t="s">
        <v>31</v>
      </c>
      <c r="Q411" t="s">
        <v>31</v>
      </c>
      <c r="R411" t="s">
        <v>31</v>
      </c>
      <c r="S411" t="s">
        <v>31</v>
      </c>
      <c r="T411">
        <v>4</v>
      </c>
      <c r="U411">
        <v>6</v>
      </c>
      <c r="V411" t="s">
        <v>31</v>
      </c>
      <c r="W411" t="s">
        <v>31</v>
      </c>
      <c r="X411" t="s">
        <v>31</v>
      </c>
      <c r="Y411" t="s">
        <v>31</v>
      </c>
      <c r="Z411" t="s">
        <v>31</v>
      </c>
      <c r="AA411">
        <v>0</v>
      </c>
    </row>
    <row r="412" spans="1:27" x14ac:dyDescent="0.25">
      <c r="A412">
        <v>412</v>
      </c>
      <c r="B412" t="s">
        <v>27</v>
      </c>
      <c r="C412">
        <v>817</v>
      </c>
      <c r="D412" t="s">
        <v>53</v>
      </c>
      <c r="E412">
        <v>5118230230000100</v>
      </c>
      <c r="F412">
        <v>5118230230000100</v>
      </c>
      <c r="G412" t="s">
        <v>966</v>
      </c>
      <c r="H412" t="s">
        <v>967</v>
      </c>
      <c r="I412" t="s">
        <v>31</v>
      </c>
      <c r="J412" t="s">
        <v>30</v>
      </c>
      <c r="K412" t="s">
        <v>968</v>
      </c>
      <c r="L412" t="s">
        <v>31</v>
      </c>
      <c r="M412" t="s">
        <v>31</v>
      </c>
      <c r="N412" t="s">
        <v>31</v>
      </c>
      <c r="O412" t="s">
        <v>31</v>
      </c>
      <c r="P412" t="s">
        <v>31</v>
      </c>
      <c r="Q412" t="s">
        <v>31</v>
      </c>
      <c r="R412" t="s">
        <v>31</v>
      </c>
      <c r="S412" t="s">
        <v>31</v>
      </c>
      <c r="T412">
        <v>39</v>
      </c>
      <c r="U412">
        <v>58</v>
      </c>
      <c r="V412" t="s">
        <v>31</v>
      </c>
      <c r="W412" t="s">
        <v>31</v>
      </c>
      <c r="X412" t="s">
        <v>31</v>
      </c>
      <c r="Y412" t="s">
        <v>31</v>
      </c>
      <c r="Z412" t="s">
        <v>31</v>
      </c>
      <c r="AA412">
        <v>0</v>
      </c>
    </row>
    <row r="413" spans="1:27" x14ac:dyDescent="0.25">
      <c r="A413">
        <v>413</v>
      </c>
      <c r="B413" t="s">
        <v>27</v>
      </c>
      <c r="C413">
        <v>606</v>
      </c>
      <c r="D413" t="s">
        <v>53</v>
      </c>
      <c r="E413">
        <v>5118230000166000</v>
      </c>
      <c r="F413">
        <v>5118230000166000</v>
      </c>
      <c r="G413" t="s">
        <v>966</v>
      </c>
      <c r="H413">
        <v>166</v>
      </c>
      <c r="I413">
        <v>6253300166</v>
      </c>
      <c r="J413" t="s">
        <v>30</v>
      </c>
      <c r="K413" t="s">
        <v>969</v>
      </c>
      <c r="L413" t="s">
        <v>31</v>
      </c>
      <c r="M413" t="s">
        <v>31</v>
      </c>
      <c r="N413">
        <v>0</v>
      </c>
      <c r="O413" t="s">
        <v>557</v>
      </c>
      <c r="P413" t="s">
        <v>777</v>
      </c>
      <c r="Q413" t="s">
        <v>35</v>
      </c>
      <c r="R413" t="s">
        <v>31</v>
      </c>
      <c r="S413" t="s">
        <v>31</v>
      </c>
      <c r="T413">
        <v>160</v>
      </c>
      <c r="U413">
        <v>250</v>
      </c>
      <c r="V413" t="s">
        <v>37</v>
      </c>
      <c r="W413" t="s">
        <v>38</v>
      </c>
      <c r="X413" t="s">
        <v>39</v>
      </c>
      <c r="Y413">
        <v>0</v>
      </c>
      <c r="Z413" t="s">
        <v>40</v>
      </c>
      <c r="AA413">
        <v>0</v>
      </c>
    </row>
    <row r="414" spans="1:27" x14ac:dyDescent="0.25">
      <c r="A414">
        <v>414</v>
      </c>
      <c r="B414" t="s">
        <v>27</v>
      </c>
      <c r="C414">
        <v>857</v>
      </c>
      <c r="D414" t="s">
        <v>53</v>
      </c>
      <c r="E414">
        <v>5118230290090100</v>
      </c>
      <c r="F414">
        <v>5118230290090100</v>
      </c>
      <c r="G414" t="s">
        <v>970</v>
      </c>
      <c r="H414" t="s">
        <v>971</v>
      </c>
      <c r="I414" t="s">
        <v>31</v>
      </c>
      <c r="J414" t="s">
        <v>30</v>
      </c>
      <c r="K414" t="s">
        <v>914</v>
      </c>
      <c r="L414" t="s">
        <v>31</v>
      </c>
      <c r="M414" t="s">
        <v>31</v>
      </c>
      <c r="N414" t="s">
        <v>31</v>
      </c>
      <c r="O414" t="s">
        <v>31</v>
      </c>
      <c r="P414" t="s">
        <v>31</v>
      </c>
      <c r="Q414" t="s">
        <v>31</v>
      </c>
      <c r="R414" t="s">
        <v>31</v>
      </c>
      <c r="S414" t="s">
        <v>31</v>
      </c>
      <c r="T414">
        <v>50</v>
      </c>
      <c r="U414">
        <v>65</v>
      </c>
      <c r="V414" t="s">
        <v>31</v>
      </c>
      <c r="W414" t="s">
        <v>31</v>
      </c>
      <c r="X414" t="s">
        <v>31</v>
      </c>
      <c r="Y414" t="s">
        <v>31</v>
      </c>
      <c r="Z414" t="s">
        <v>31</v>
      </c>
      <c r="AA414">
        <v>0</v>
      </c>
    </row>
    <row r="415" spans="1:27" x14ac:dyDescent="0.25">
      <c r="A415">
        <v>415</v>
      </c>
      <c r="B415" t="s">
        <v>27</v>
      </c>
      <c r="C415">
        <v>608</v>
      </c>
      <c r="D415" t="s">
        <v>53</v>
      </c>
      <c r="E415">
        <v>5118230000168000</v>
      </c>
      <c r="F415">
        <v>5118230000168000</v>
      </c>
      <c r="G415" t="s">
        <v>972</v>
      </c>
      <c r="H415">
        <v>168</v>
      </c>
      <c r="I415">
        <v>6253300168</v>
      </c>
      <c r="J415" t="s">
        <v>30</v>
      </c>
      <c r="K415" t="s">
        <v>316</v>
      </c>
      <c r="L415" t="s">
        <v>31</v>
      </c>
      <c r="M415" t="s">
        <v>31</v>
      </c>
      <c r="N415">
        <v>0</v>
      </c>
      <c r="O415" t="s">
        <v>59</v>
      </c>
      <c r="P415" t="s">
        <v>973</v>
      </c>
      <c r="Q415" t="s">
        <v>47</v>
      </c>
      <c r="R415" t="s">
        <v>31</v>
      </c>
      <c r="S415" t="s">
        <v>31</v>
      </c>
      <c r="T415">
        <v>8</v>
      </c>
      <c r="U415">
        <v>15</v>
      </c>
      <c r="V415" t="s">
        <v>31</v>
      </c>
      <c r="W415" t="s">
        <v>37</v>
      </c>
      <c r="X415" t="s">
        <v>39</v>
      </c>
      <c r="Y415">
        <v>0</v>
      </c>
      <c r="Z415" t="s">
        <v>40</v>
      </c>
      <c r="AA415">
        <v>0</v>
      </c>
    </row>
    <row r="416" spans="1:27" x14ac:dyDescent="0.25">
      <c r="A416">
        <v>416</v>
      </c>
      <c r="B416" t="s">
        <v>27</v>
      </c>
      <c r="C416">
        <v>622</v>
      </c>
      <c r="D416" t="s">
        <v>53</v>
      </c>
      <c r="E416">
        <v>5118230000182000</v>
      </c>
      <c r="F416">
        <v>5118230000182000</v>
      </c>
      <c r="G416" t="s">
        <v>974</v>
      </c>
      <c r="H416">
        <v>182</v>
      </c>
      <c r="I416">
        <v>6253260182</v>
      </c>
      <c r="J416" t="s">
        <v>30</v>
      </c>
      <c r="K416" t="s">
        <v>975</v>
      </c>
      <c r="L416" t="s">
        <v>31</v>
      </c>
      <c r="M416" t="s">
        <v>31</v>
      </c>
      <c r="N416">
        <v>0</v>
      </c>
      <c r="O416" t="s">
        <v>59</v>
      </c>
      <c r="P416" t="s">
        <v>802</v>
      </c>
      <c r="Q416" t="s">
        <v>35</v>
      </c>
      <c r="R416" t="s">
        <v>61</v>
      </c>
      <c r="S416" t="s">
        <v>31</v>
      </c>
      <c r="T416">
        <v>60</v>
      </c>
      <c r="U416">
        <v>60</v>
      </c>
      <c r="V416" t="s">
        <v>52</v>
      </c>
      <c r="W416" t="s">
        <v>52</v>
      </c>
      <c r="X416" t="s">
        <v>85</v>
      </c>
      <c r="Y416">
        <v>0</v>
      </c>
      <c r="Z416" t="s">
        <v>40</v>
      </c>
      <c r="AA416">
        <v>0</v>
      </c>
    </row>
    <row r="417" spans="1:27" x14ac:dyDescent="0.25">
      <c r="A417">
        <v>417</v>
      </c>
      <c r="B417" t="s">
        <v>27</v>
      </c>
      <c r="C417">
        <v>810</v>
      </c>
      <c r="D417" t="s">
        <v>53</v>
      </c>
      <c r="E417">
        <v>5118230220010100</v>
      </c>
      <c r="F417">
        <v>5118230220010100</v>
      </c>
      <c r="G417" t="s">
        <v>976</v>
      </c>
      <c r="H417" t="s">
        <v>977</v>
      </c>
      <c r="I417" t="s">
        <v>31</v>
      </c>
      <c r="J417" t="s">
        <v>30</v>
      </c>
      <c r="K417" t="s">
        <v>978</v>
      </c>
      <c r="L417" t="s">
        <v>31</v>
      </c>
      <c r="M417" t="s">
        <v>31</v>
      </c>
      <c r="N417" t="s">
        <v>31</v>
      </c>
      <c r="O417" t="s">
        <v>31</v>
      </c>
      <c r="P417" t="s">
        <v>31</v>
      </c>
      <c r="Q417" t="s">
        <v>31</v>
      </c>
      <c r="R417" t="s">
        <v>31</v>
      </c>
      <c r="S417" t="s">
        <v>31</v>
      </c>
      <c r="T417">
        <v>0</v>
      </c>
      <c r="U417">
        <v>0</v>
      </c>
      <c r="V417" t="s">
        <v>31</v>
      </c>
      <c r="W417" t="s">
        <v>31</v>
      </c>
      <c r="X417" t="s">
        <v>31</v>
      </c>
      <c r="Y417" t="s">
        <v>31</v>
      </c>
      <c r="Z417" t="s">
        <v>31</v>
      </c>
      <c r="AA417">
        <v>0</v>
      </c>
    </row>
    <row r="418" spans="1:27" x14ac:dyDescent="0.25">
      <c r="A418">
        <v>418</v>
      </c>
      <c r="B418" t="s">
        <v>27</v>
      </c>
      <c r="C418">
        <v>610</v>
      </c>
      <c r="D418" t="s">
        <v>53</v>
      </c>
      <c r="E418">
        <v>5118230000170000</v>
      </c>
      <c r="F418">
        <v>5118230000170000</v>
      </c>
      <c r="G418" t="s">
        <v>979</v>
      </c>
      <c r="H418">
        <v>170</v>
      </c>
      <c r="I418">
        <v>6253300170</v>
      </c>
      <c r="J418" t="s">
        <v>30</v>
      </c>
      <c r="K418" t="s">
        <v>980</v>
      </c>
      <c r="L418" t="s">
        <v>31</v>
      </c>
      <c r="M418" t="s">
        <v>31</v>
      </c>
      <c r="N418">
        <v>0</v>
      </c>
      <c r="O418" t="s">
        <v>557</v>
      </c>
      <c r="P418" t="s">
        <v>777</v>
      </c>
      <c r="Q418" t="s">
        <v>35</v>
      </c>
      <c r="R418" t="s">
        <v>31</v>
      </c>
      <c r="S418" t="s">
        <v>61</v>
      </c>
      <c r="T418">
        <v>40</v>
      </c>
      <c r="U418">
        <v>50</v>
      </c>
      <c r="V418" t="s">
        <v>52</v>
      </c>
      <c r="W418" t="s">
        <v>52</v>
      </c>
      <c r="X418" t="s">
        <v>39</v>
      </c>
      <c r="Y418">
        <v>0</v>
      </c>
      <c r="Z418" t="s">
        <v>40</v>
      </c>
      <c r="AA418">
        <v>0</v>
      </c>
    </row>
    <row r="419" spans="1:27" x14ac:dyDescent="0.25">
      <c r="A419">
        <v>419</v>
      </c>
      <c r="B419" t="s">
        <v>27</v>
      </c>
      <c r="C419">
        <v>819</v>
      </c>
      <c r="D419" t="s">
        <v>53</v>
      </c>
      <c r="E419">
        <v>5118230230020100</v>
      </c>
      <c r="F419">
        <v>5118230230020100</v>
      </c>
      <c r="G419" t="s">
        <v>979</v>
      </c>
      <c r="H419" t="s">
        <v>981</v>
      </c>
      <c r="I419" t="s">
        <v>31</v>
      </c>
      <c r="J419" t="s">
        <v>30</v>
      </c>
      <c r="K419" t="s">
        <v>982</v>
      </c>
      <c r="L419" t="s">
        <v>31</v>
      </c>
      <c r="M419" t="s">
        <v>31</v>
      </c>
      <c r="N419" t="s">
        <v>31</v>
      </c>
      <c r="O419" t="s">
        <v>31</v>
      </c>
      <c r="P419" t="s">
        <v>31</v>
      </c>
      <c r="Q419" t="s">
        <v>31</v>
      </c>
      <c r="R419" t="s">
        <v>31</v>
      </c>
      <c r="S419" t="s">
        <v>31</v>
      </c>
      <c r="T419">
        <v>26</v>
      </c>
      <c r="U419">
        <v>47</v>
      </c>
      <c r="V419" t="s">
        <v>31</v>
      </c>
      <c r="W419" t="s">
        <v>31</v>
      </c>
      <c r="X419" t="s">
        <v>31</v>
      </c>
      <c r="Y419" t="s">
        <v>31</v>
      </c>
      <c r="Z419" t="s">
        <v>31</v>
      </c>
      <c r="AA419">
        <v>0</v>
      </c>
    </row>
    <row r="420" spans="1:27" x14ac:dyDescent="0.25">
      <c r="A420">
        <v>420</v>
      </c>
      <c r="B420" t="s">
        <v>27</v>
      </c>
      <c r="C420">
        <v>861</v>
      </c>
      <c r="D420" t="s">
        <v>53</v>
      </c>
      <c r="E420">
        <v>5118230290130100</v>
      </c>
      <c r="F420">
        <v>5118230290130100</v>
      </c>
      <c r="G420" t="s">
        <v>902</v>
      </c>
      <c r="H420" t="s">
        <v>983</v>
      </c>
      <c r="I420" t="s">
        <v>31</v>
      </c>
      <c r="J420" t="s">
        <v>30</v>
      </c>
      <c r="K420" t="s">
        <v>984</v>
      </c>
      <c r="L420" t="s">
        <v>31</v>
      </c>
      <c r="M420" t="s">
        <v>31</v>
      </c>
      <c r="N420" t="s">
        <v>31</v>
      </c>
      <c r="O420" t="s">
        <v>31</v>
      </c>
      <c r="P420" t="s">
        <v>31</v>
      </c>
      <c r="Q420" t="s">
        <v>31</v>
      </c>
      <c r="R420" t="s">
        <v>31</v>
      </c>
      <c r="S420" t="s">
        <v>31</v>
      </c>
      <c r="T420">
        <v>92</v>
      </c>
      <c r="U420">
        <v>128</v>
      </c>
      <c r="V420" t="s">
        <v>31</v>
      </c>
      <c r="W420" t="s">
        <v>31</v>
      </c>
      <c r="X420" t="s">
        <v>31</v>
      </c>
      <c r="Y420" t="s">
        <v>31</v>
      </c>
      <c r="Z420" t="s">
        <v>31</v>
      </c>
      <c r="AA420">
        <v>0</v>
      </c>
    </row>
    <row r="421" spans="1:27" x14ac:dyDescent="0.25">
      <c r="A421">
        <v>421</v>
      </c>
      <c r="B421" t="s">
        <v>27</v>
      </c>
      <c r="C421">
        <v>623</v>
      </c>
      <c r="D421" t="s">
        <v>53</v>
      </c>
      <c r="E421">
        <v>5118230000183000</v>
      </c>
      <c r="F421">
        <v>5118230000183000</v>
      </c>
      <c r="G421" t="s">
        <v>985</v>
      </c>
      <c r="H421">
        <v>183</v>
      </c>
      <c r="I421">
        <v>6253260183</v>
      </c>
      <c r="J421" t="s">
        <v>30</v>
      </c>
      <c r="K421" t="s">
        <v>986</v>
      </c>
      <c r="L421" t="s">
        <v>31</v>
      </c>
      <c r="M421" t="s">
        <v>31</v>
      </c>
      <c r="N421">
        <v>0</v>
      </c>
      <c r="O421" t="s">
        <v>59</v>
      </c>
      <c r="P421" t="s">
        <v>31</v>
      </c>
      <c r="Q421" t="s">
        <v>47</v>
      </c>
      <c r="R421" t="s">
        <v>61</v>
      </c>
      <c r="S421" t="s">
        <v>61</v>
      </c>
      <c r="T421">
        <v>120</v>
      </c>
      <c r="U421">
        <v>200</v>
      </c>
      <c r="V421" t="s">
        <v>31</v>
      </c>
      <c r="W421" t="s">
        <v>38</v>
      </c>
      <c r="X421" t="s">
        <v>39</v>
      </c>
      <c r="Y421">
        <v>0</v>
      </c>
      <c r="Z421" t="s">
        <v>40</v>
      </c>
      <c r="AA421">
        <v>0</v>
      </c>
    </row>
    <row r="422" spans="1:27" x14ac:dyDescent="0.25">
      <c r="A422">
        <v>422</v>
      </c>
      <c r="B422" t="s">
        <v>27</v>
      </c>
      <c r="C422">
        <v>652</v>
      </c>
      <c r="D422" t="s">
        <v>53</v>
      </c>
      <c r="E422">
        <v>5118230000212000</v>
      </c>
      <c r="F422">
        <v>5118230000212000</v>
      </c>
      <c r="G422" t="s">
        <v>987</v>
      </c>
      <c r="H422">
        <v>212</v>
      </c>
      <c r="I422">
        <v>6253340212</v>
      </c>
      <c r="J422" t="s">
        <v>30</v>
      </c>
      <c r="K422" t="s">
        <v>988</v>
      </c>
      <c r="L422" t="s">
        <v>31</v>
      </c>
      <c r="M422" t="s">
        <v>31</v>
      </c>
      <c r="N422">
        <v>0</v>
      </c>
      <c r="O422" t="s">
        <v>59</v>
      </c>
      <c r="P422" t="s">
        <v>802</v>
      </c>
      <c r="Q422" t="s">
        <v>35</v>
      </c>
      <c r="R422" t="s">
        <v>61</v>
      </c>
      <c r="S422" t="s">
        <v>31</v>
      </c>
      <c r="T422">
        <v>56</v>
      </c>
      <c r="U422">
        <v>65</v>
      </c>
      <c r="V422" t="s">
        <v>37</v>
      </c>
      <c r="W422" t="s">
        <v>52</v>
      </c>
      <c r="X422" t="s">
        <v>39</v>
      </c>
      <c r="Y422">
        <v>0</v>
      </c>
      <c r="Z422" t="s">
        <v>40</v>
      </c>
      <c r="AA422">
        <v>0</v>
      </c>
    </row>
    <row r="423" spans="1:27" x14ac:dyDescent="0.25">
      <c r="A423">
        <v>423</v>
      </c>
      <c r="B423" t="s">
        <v>27</v>
      </c>
      <c r="C423">
        <v>811</v>
      </c>
      <c r="D423" t="s">
        <v>53</v>
      </c>
      <c r="E423">
        <v>5118230220020100</v>
      </c>
      <c r="F423">
        <v>5118230220020100</v>
      </c>
      <c r="G423" t="s">
        <v>989</v>
      </c>
      <c r="H423" t="s">
        <v>990</v>
      </c>
      <c r="I423" t="s">
        <v>31</v>
      </c>
      <c r="J423" t="s">
        <v>30</v>
      </c>
      <c r="K423" t="s">
        <v>978</v>
      </c>
      <c r="L423" t="s">
        <v>31</v>
      </c>
      <c r="M423" t="s">
        <v>31</v>
      </c>
      <c r="N423" t="s">
        <v>31</v>
      </c>
      <c r="O423" t="s">
        <v>31</v>
      </c>
      <c r="P423" t="s">
        <v>31</v>
      </c>
      <c r="Q423" t="s">
        <v>31</v>
      </c>
      <c r="R423" t="s">
        <v>31</v>
      </c>
      <c r="S423" t="s">
        <v>31</v>
      </c>
      <c r="T423">
        <v>120</v>
      </c>
      <c r="U423">
        <v>147</v>
      </c>
      <c r="V423" t="s">
        <v>31</v>
      </c>
      <c r="W423" t="s">
        <v>31</v>
      </c>
      <c r="X423" t="s">
        <v>31</v>
      </c>
      <c r="Y423" t="s">
        <v>31</v>
      </c>
      <c r="Z423" t="s">
        <v>31</v>
      </c>
      <c r="AA423">
        <v>0</v>
      </c>
    </row>
    <row r="424" spans="1:27" x14ac:dyDescent="0.25">
      <c r="A424">
        <v>424</v>
      </c>
      <c r="B424" t="s">
        <v>27</v>
      </c>
      <c r="C424">
        <v>854</v>
      </c>
      <c r="D424" t="s">
        <v>53</v>
      </c>
      <c r="E424">
        <v>5118230290060100</v>
      </c>
      <c r="F424">
        <v>5118230290060100</v>
      </c>
      <c r="G424" t="s">
        <v>987</v>
      </c>
      <c r="H424" t="s">
        <v>991</v>
      </c>
      <c r="I424" t="s">
        <v>31</v>
      </c>
      <c r="J424" t="s">
        <v>30</v>
      </c>
      <c r="K424" t="s">
        <v>992</v>
      </c>
      <c r="L424" t="s">
        <v>31</v>
      </c>
      <c r="M424" t="s">
        <v>31</v>
      </c>
      <c r="N424" t="s">
        <v>31</v>
      </c>
      <c r="O424" t="s">
        <v>31</v>
      </c>
      <c r="P424" t="s">
        <v>31</v>
      </c>
      <c r="Q424" t="s">
        <v>31</v>
      </c>
      <c r="R424" t="s">
        <v>31</v>
      </c>
      <c r="S424" t="s">
        <v>31</v>
      </c>
      <c r="T424">
        <v>14</v>
      </c>
      <c r="U424">
        <v>132</v>
      </c>
      <c r="V424" t="s">
        <v>31</v>
      </c>
      <c r="W424" t="s">
        <v>31</v>
      </c>
      <c r="X424" t="s">
        <v>31</v>
      </c>
      <c r="Y424" t="s">
        <v>31</v>
      </c>
      <c r="Z424" t="s">
        <v>31</v>
      </c>
      <c r="AA424">
        <v>0</v>
      </c>
    </row>
    <row r="425" spans="1:27" x14ac:dyDescent="0.25">
      <c r="A425">
        <v>425</v>
      </c>
      <c r="B425" t="s">
        <v>27</v>
      </c>
      <c r="C425">
        <v>609</v>
      </c>
      <c r="D425" t="s">
        <v>53</v>
      </c>
      <c r="E425">
        <v>5118230000169000</v>
      </c>
      <c r="F425">
        <v>5118230000169000</v>
      </c>
      <c r="G425" t="s">
        <v>993</v>
      </c>
      <c r="H425">
        <v>169</v>
      </c>
      <c r="I425">
        <v>6253300169</v>
      </c>
      <c r="J425" t="s">
        <v>30</v>
      </c>
      <c r="K425" t="s">
        <v>994</v>
      </c>
      <c r="L425" t="s">
        <v>31</v>
      </c>
      <c r="M425" t="s">
        <v>31</v>
      </c>
      <c r="N425">
        <v>0</v>
      </c>
      <c r="O425" t="s">
        <v>557</v>
      </c>
      <c r="P425" t="s">
        <v>777</v>
      </c>
      <c r="Q425" t="s">
        <v>35</v>
      </c>
      <c r="R425" t="s">
        <v>61</v>
      </c>
      <c r="S425" t="s">
        <v>61</v>
      </c>
      <c r="T425">
        <v>40</v>
      </c>
      <c r="U425">
        <v>40</v>
      </c>
      <c r="V425" t="s">
        <v>37</v>
      </c>
      <c r="W425" t="s">
        <v>52</v>
      </c>
      <c r="X425" t="s">
        <v>39</v>
      </c>
      <c r="Y425">
        <v>0</v>
      </c>
      <c r="Z425" t="s">
        <v>40</v>
      </c>
      <c r="AA425">
        <v>0</v>
      </c>
    </row>
    <row r="426" spans="1:27" x14ac:dyDescent="0.25">
      <c r="A426">
        <v>426</v>
      </c>
      <c r="B426" t="s">
        <v>27</v>
      </c>
      <c r="C426">
        <v>816</v>
      </c>
      <c r="D426" t="s">
        <v>53</v>
      </c>
      <c r="E426">
        <v>5118230220070100</v>
      </c>
      <c r="F426">
        <v>5118230220070100</v>
      </c>
      <c r="G426" t="s">
        <v>995</v>
      </c>
      <c r="H426" t="s">
        <v>996</v>
      </c>
      <c r="I426" t="s">
        <v>31</v>
      </c>
      <c r="J426" t="s">
        <v>30</v>
      </c>
      <c r="K426" t="s">
        <v>997</v>
      </c>
      <c r="L426" t="s">
        <v>31</v>
      </c>
      <c r="M426" t="s">
        <v>31</v>
      </c>
      <c r="N426" t="s">
        <v>31</v>
      </c>
      <c r="O426" t="s">
        <v>31</v>
      </c>
      <c r="P426" t="s">
        <v>31</v>
      </c>
      <c r="Q426" t="s">
        <v>31</v>
      </c>
      <c r="R426" t="s">
        <v>31</v>
      </c>
      <c r="S426" t="s">
        <v>31</v>
      </c>
      <c r="T426">
        <v>160</v>
      </c>
      <c r="U426">
        <v>278</v>
      </c>
      <c r="V426" t="s">
        <v>31</v>
      </c>
      <c r="W426" t="s">
        <v>31</v>
      </c>
      <c r="X426" t="s">
        <v>31</v>
      </c>
      <c r="Y426" t="s">
        <v>31</v>
      </c>
      <c r="Z426" t="s">
        <v>31</v>
      </c>
      <c r="AA426">
        <v>0</v>
      </c>
    </row>
    <row r="427" spans="1:27" x14ac:dyDescent="0.25">
      <c r="A427">
        <v>427</v>
      </c>
      <c r="B427" t="s">
        <v>27</v>
      </c>
      <c r="C427">
        <v>853</v>
      </c>
      <c r="D427" t="s">
        <v>53</v>
      </c>
      <c r="E427">
        <v>5118230290050100</v>
      </c>
      <c r="F427">
        <v>5118230290050100</v>
      </c>
      <c r="G427" t="s">
        <v>998</v>
      </c>
      <c r="H427" t="s">
        <v>999</v>
      </c>
      <c r="I427" t="s">
        <v>31</v>
      </c>
      <c r="J427" t="s">
        <v>30</v>
      </c>
      <c r="K427" t="s">
        <v>992</v>
      </c>
      <c r="L427" t="s">
        <v>31</v>
      </c>
      <c r="M427" t="s">
        <v>31</v>
      </c>
      <c r="N427" t="s">
        <v>31</v>
      </c>
      <c r="O427" t="s">
        <v>31</v>
      </c>
      <c r="P427" t="s">
        <v>31</v>
      </c>
      <c r="Q427" t="s">
        <v>31</v>
      </c>
      <c r="R427" t="s">
        <v>31</v>
      </c>
      <c r="S427" t="s">
        <v>31</v>
      </c>
      <c r="T427">
        <v>48</v>
      </c>
      <c r="U427">
        <v>61</v>
      </c>
      <c r="V427" t="s">
        <v>31</v>
      </c>
      <c r="W427" t="s">
        <v>31</v>
      </c>
      <c r="X427" t="s">
        <v>31</v>
      </c>
      <c r="Y427" t="s">
        <v>31</v>
      </c>
      <c r="Z427" t="s">
        <v>31</v>
      </c>
      <c r="AA427">
        <v>0</v>
      </c>
    </row>
    <row r="428" spans="1:27" x14ac:dyDescent="0.25">
      <c r="A428">
        <v>428</v>
      </c>
      <c r="B428" t="s">
        <v>27</v>
      </c>
      <c r="C428">
        <v>936</v>
      </c>
      <c r="D428" t="s">
        <v>53</v>
      </c>
      <c r="E428">
        <v>5118232130050100</v>
      </c>
      <c r="F428">
        <v>5118232130050100</v>
      </c>
      <c r="G428" t="s">
        <v>998</v>
      </c>
      <c r="H428" t="s">
        <v>999</v>
      </c>
      <c r="I428" t="s">
        <v>31</v>
      </c>
      <c r="J428" t="s">
        <v>30</v>
      </c>
      <c r="K428" t="s">
        <v>992</v>
      </c>
      <c r="L428" t="s">
        <v>31</v>
      </c>
      <c r="M428" t="s">
        <v>31</v>
      </c>
      <c r="N428" t="s">
        <v>31</v>
      </c>
      <c r="O428" t="s">
        <v>31</v>
      </c>
      <c r="P428" t="s">
        <v>31</v>
      </c>
      <c r="Q428" t="s">
        <v>31</v>
      </c>
      <c r="R428" t="s">
        <v>31</v>
      </c>
      <c r="S428" t="s">
        <v>31</v>
      </c>
      <c r="T428">
        <v>48</v>
      </c>
      <c r="U428">
        <v>61</v>
      </c>
      <c r="V428" t="s">
        <v>31</v>
      </c>
      <c r="W428" t="s">
        <v>31</v>
      </c>
      <c r="X428" t="s">
        <v>31</v>
      </c>
      <c r="Y428" t="s">
        <v>31</v>
      </c>
      <c r="Z428" t="s">
        <v>31</v>
      </c>
      <c r="AA428">
        <v>0</v>
      </c>
    </row>
    <row r="429" spans="1:27" x14ac:dyDescent="0.25">
      <c r="A429">
        <v>429</v>
      </c>
      <c r="B429" t="s">
        <v>27</v>
      </c>
      <c r="C429">
        <v>818</v>
      </c>
      <c r="D429" t="s">
        <v>53</v>
      </c>
      <c r="E429">
        <v>5118230230010100</v>
      </c>
      <c r="F429">
        <v>5118230230010100</v>
      </c>
      <c r="G429" t="s">
        <v>1000</v>
      </c>
      <c r="H429" t="s">
        <v>1001</v>
      </c>
      <c r="I429" t="s">
        <v>31</v>
      </c>
      <c r="J429" t="s">
        <v>30</v>
      </c>
      <c r="K429" t="s">
        <v>982</v>
      </c>
      <c r="L429" t="s">
        <v>31</v>
      </c>
      <c r="M429" t="s">
        <v>31</v>
      </c>
      <c r="N429" t="s">
        <v>31</v>
      </c>
      <c r="O429" t="s">
        <v>31</v>
      </c>
      <c r="P429" t="s">
        <v>31</v>
      </c>
      <c r="Q429" t="s">
        <v>31</v>
      </c>
      <c r="R429" t="s">
        <v>31</v>
      </c>
      <c r="S429" t="s">
        <v>31</v>
      </c>
      <c r="T429">
        <v>45</v>
      </c>
      <c r="U429">
        <v>87</v>
      </c>
      <c r="V429" t="s">
        <v>31</v>
      </c>
      <c r="W429" t="s">
        <v>31</v>
      </c>
      <c r="X429" t="s">
        <v>31</v>
      </c>
      <c r="Y429" t="s">
        <v>31</v>
      </c>
      <c r="Z429" t="s">
        <v>31</v>
      </c>
      <c r="AA429">
        <v>0</v>
      </c>
    </row>
    <row r="430" spans="1:27" x14ac:dyDescent="0.25">
      <c r="A430">
        <v>430</v>
      </c>
      <c r="B430" t="s">
        <v>27</v>
      </c>
      <c r="C430">
        <v>628</v>
      </c>
      <c r="D430" t="s">
        <v>53</v>
      </c>
      <c r="E430">
        <v>5118230000188000</v>
      </c>
      <c r="F430">
        <v>5118230000188000</v>
      </c>
      <c r="G430" t="s">
        <v>1002</v>
      </c>
      <c r="H430">
        <v>188</v>
      </c>
      <c r="I430">
        <v>6253260188</v>
      </c>
      <c r="J430" t="s">
        <v>30</v>
      </c>
      <c r="K430" t="s">
        <v>1003</v>
      </c>
      <c r="L430" t="s">
        <v>31</v>
      </c>
      <c r="M430" t="s">
        <v>31</v>
      </c>
      <c r="N430">
        <v>0</v>
      </c>
      <c r="O430" t="s">
        <v>557</v>
      </c>
      <c r="P430" t="s">
        <v>802</v>
      </c>
      <c r="Q430" t="s">
        <v>35</v>
      </c>
      <c r="R430" t="s">
        <v>61</v>
      </c>
      <c r="S430" t="s">
        <v>61</v>
      </c>
      <c r="T430">
        <v>160</v>
      </c>
      <c r="U430">
        <v>420</v>
      </c>
      <c r="V430" t="s">
        <v>37</v>
      </c>
      <c r="W430" t="s">
        <v>38</v>
      </c>
      <c r="X430" t="s">
        <v>39</v>
      </c>
      <c r="Y430">
        <v>0</v>
      </c>
      <c r="Z430" t="s">
        <v>40</v>
      </c>
      <c r="AA430">
        <v>0</v>
      </c>
    </row>
    <row r="431" spans="1:27" x14ac:dyDescent="0.25">
      <c r="A431">
        <v>431</v>
      </c>
      <c r="B431" t="s">
        <v>27</v>
      </c>
      <c r="C431">
        <v>815</v>
      </c>
      <c r="D431" t="s">
        <v>53</v>
      </c>
      <c r="E431">
        <v>5118230220060100</v>
      </c>
      <c r="F431">
        <v>5118230220060100</v>
      </c>
      <c r="G431" t="s">
        <v>1004</v>
      </c>
      <c r="H431" t="s">
        <v>1005</v>
      </c>
      <c r="I431" t="s">
        <v>31</v>
      </c>
      <c r="J431" t="s">
        <v>30</v>
      </c>
      <c r="K431" t="s">
        <v>997</v>
      </c>
      <c r="L431" t="s">
        <v>31</v>
      </c>
      <c r="M431" t="s">
        <v>31</v>
      </c>
      <c r="N431" t="s">
        <v>31</v>
      </c>
      <c r="O431" t="s">
        <v>31</v>
      </c>
      <c r="P431" t="s">
        <v>31</v>
      </c>
      <c r="Q431" t="s">
        <v>31</v>
      </c>
      <c r="R431" t="s">
        <v>31</v>
      </c>
      <c r="S431" t="s">
        <v>31</v>
      </c>
      <c r="T431">
        <v>8</v>
      </c>
      <c r="U431">
        <v>14</v>
      </c>
      <c r="V431" t="s">
        <v>31</v>
      </c>
      <c r="W431" t="s">
        <v>31</v>
      </c>
      <c r="X431" t="s">
        <v>31</v>
      </c>
      <c r="Y431" t="s">
        <v>31</v>
      </c>
      <c r="Z431" t="s">
        <v>31</v>
      </c>
      <c r="AA431">
        <v>0</v>
      </c>
    </row>
    <row r="432" spans="1:27" x14ac:dyDescent="0.25">
      <c r="A432">
        <v>432</v>
      </c>
      <c r="B432" t="s">
        <v>27</v>
      </c>
      <c r="C432">
        <v>629</v>
      </c>
      <c r="D432" t="s">
        <v>53</v>
      </c>
      <c r="E432">
        <v>5118230000189000</v>
      </c>
      <c r="F432">
        <v>5118230000189000</v>
      </c>
      <c r="G432" t="s">
        <v>1006</v>
      </c>
      <c r="H432">
        <v>189</v>
      </c>
      <c r="I432">
        <v>6253260189</v>
      </c>
      <c r="J432" t="s">
        <v>30</v>
      </c>
      <c r="K432" t="s">
        <v>1003</v>
      </c>
      <c r="L432" t="s">
        <v>31</v>
      </c>
      <c r="M432" t="s">
        <v>31</v>
      </c>
      <c r="N432">
        <v>0</v>
      </c>
      <c r="O432" t="s">
        <v>31</v>
      </c>
      <c r="P432" t="s">
        <v>802</v>
      </c>
      <c r="Q432" t="s">
        <v>35</v>
      </c>
      <c r="R432" t="s">
        <v>61</v>
      </c>
      <c r="S432" t="s">
        <v>61</v>
      </c>
      <c r="T432">
        <v>10</v>
      </c>
      <c r="U432">
        <v>20</v>
      </c>
      <c r="V432" t="s">
        <v>31</v>
      </c>
      <c r="W432" t="s">
        <v>52</v>
      </c>
      <c r="X432" t="s">
        <v>39</v>
      </c>
      <c r="Y432">
        <v>0</v>
      </c>
      <c r="Z432" t="s">
        <v>40</v>
      </c>
      <c r="AA432">
        <v>7</v>
      </c>
    </row>
    <row r="433" spans="1:27" x14ac:dyDescent="0.25">
      <c r="A433">
        <v>433</v>
      </c>
      <c r="B433" t="s">
        <v>27</v>
      </c>
      <c r="C433">
        <v>607</v>
      </c>
      <c r="D433" t="s">
        <v>53</v>
      </c>
      <c r="E433">
        <v>5118230000167000</v>
      </c>
      <c r="F433">
        <v>5118230000167000</v>
      </c>
      <c r="G433" t="s">
        <v>1007</v>
      </c>
      <c r="H433">
        <v>167</v>
      </c>
      <c r="I433">
        <v>6253300167</v>
      </c>
      <c r="J433" t="s">
        <v>30</v>
      </c>
      <c r="K433" t="s">
        <v>1008</v>
      </c>
      <c r="L433" t="s">
        <v>31</v>
      </c>
      <c r="M433" t="s">
        <v>31</v>
      </c>
      <c r="N433">
        <v>0</v>
      </c>
      <c r="O433" t="s">
        <v>33</v>
      </c>
      <c r="P433" t="s">
        <v>777</v>
      </c>
      <c r="Q433" t="s">
        <v>47</v>
      </c>
      <c r="R433" t="s">
        <v>61</v>
      </c>
      <c r="S433" t="s">
        <v>61</v>
      </c>
      <c r="T433">
        <v>12</v>
      </c>
      <c r="U433">
        <v>1</v>
      </c>
      <c r="V433" t="s">
        <v>31</v>
      </c>
      <c r="W433" t="s">
        <v>52</v>
      </c>
      <c r="X433" t="s">
        <v>39</v>
      </c>
      <c r="Y433">
        <v>0</v>
      </c>
      <c r="Z433" t="s">
        <v>40</v>
      </c>
      <c r="AA433">
        <v>0</v>
      </c>
    </row>
    <row r="434" spans="1:27" x14ac:dyDescent="0.25">
      <c r="A434">
        <v>434</v>
      </c>
      <c r="B434" t="s">
        <v>27</v>
      </c>
      <c r="C434">
        <v>820</v>
      </c>
      <c r="D434" t="s">
        <v>53</v>
      </c>
      <c r="E434">
        <v>5118230230030100</v>
      </c>
      <c r="F434">
        <v>5118230230030100</v>
      </c>
      <c r="G434" t="s">
        <v>1007</v>
      </c>
      <c r="H434" t="s">
        <v>1009</v>
      </c>
      <c r="I434" t="s">
        <v>31</v>
      </c>
      <c r="J434" t="s">
        <v>30</v>
      </c>
      <c r="K434" t="s">
        <v>1010</v>
      </c>
      <c r="L434" t="s">
        <v>31</v>
      </c>
      <c r="M434" t="s">
        <v>31</v>
      </c>
      <c r="N434" t="s">
        <v>31</v>
      </c>
      <c r="O434" t="s">
        <v>31</v>
      </c>
      <c r="P434" t="s">
        <v>31</v>
      </c>
      <c r="Q434" t="s">
        <v>31</v>
      </c>
      <c r="R434" t="s">
        <v>31</v>
      </c>
      <c r="S434" t="s">
        <v>31</v>
      </c>
      <c r="T434">
        <v>77</v>
      </c>
      <c r="U434">
        <v>103</v>
      </c>
      <c r="V434" t="s">
        <v>31</v>
      </c>
      <c r="W434" t="s">
        <v>31</v>
      </c>
      <c r="X434" t="s">
        <v>31</v>
      </c>
      <c r="Y434" t="s">
        <v>31</v>
      </c>
      <c r="Z434" t="s">
        <v>31</v>
      </c>
      <c r="AA434">
        <v>0</v>
      </c>
    </row>
    <row r="435" spans="1:27" x14ac:dyDescent="0.25">
      <c r="A435">
        <v>435</v>
      </c>
      <c r="B435" t="s">
        <v>27</v>
      </c>
      <c r="C435">
        <v>647</v>
      </c>
      <c r="D435" t="s">
        <v>53</v>
      </c>
      <c r="E435">
        <v>5118230000207000</v>
      </c>
      <c r="F435">
        <v>5118230000207000</v>
      </c>
      <c r="G435" t="s">
        <v>1011</v>
      </c>
      <c r="H435">
        <v>207</v>
      </c>
      <c r="I435">
        <v>6253340207</v>
      </c>
      <c r="J435" t="s">
        <v>30</v>
      </c>
      <c r="K435" t="s">
        <v>1012</v>
      </c>
      <c r="L435" t="s">
        <v>31</v>
      </c>
      <c r="M435" t="s">
        <v>31</v>
      </c>
      <c r="N435">
        <v>0</v>
      </c>
      <c r="O435" t="s">
        <v>59</v>
      </c>
      <c r="P435" t="s">
        <v>802</v>
      </c>
      <c r="Q435" t="s">
        <v>35</v>
      </c>
      <c r="R435" t="s">
        <v>61</v>
      </c>
      <c r="S435" t="s">
        <v>31</v>
      </c>
      <c r="T435">
        <v>137</v>
      </c>
      <c r="U435">
        <v>1</v>
      </c>
      <c r="V435" t="s">
        <v>31</v>
      </c>
      <c r="W435" t="s">
        <v>38</v>
      </c>
      <c r="X435" t="s">
        <v>85</v>
      </c>
      <c r="Y435">
        <v>0</v>
      </c>
      <c r="Z435" t="s">
        <v>40</v>
      </c>
      <c r="AA435">
        <v>5</v>
      </c>
    </row>
    <row r="436" spans="1:27" x14ac:dyDescent="0.25">
      <c r="A436">
        <v>436</v>
      </c>
      <c r="B436" t="s">
        <v>27</v>
      </c>
      <c r="C436">
        <v>849</v>
      </c>
      <c r="D436" t="s">
        <v>53</v>
      </c>
      <c r="E436">
        <v>5118230290010100</v>
      </c>
      <c r="F436">
        <v>5118230290010100</v>
      </c>
      <c r="G436" t="s">
        <v>1011</v>
      </c>
      <c r="H436" t="s">
        <v>1013</v>
      </c>
      <c r="I436" t="s">
        <v>31</v>
      </c>
      <c r="J436" t="s">
        <v>30</v>
      </c>
      <c r="K436" t="s">
        <v>1014</v>
      </c>
      <c r="L436" t="s">
        <v>31</v>
      </c>
      <c r="M436" t="s">
        <v>31</v>
      </c>
      <c r="N436" t="s">
        <v>31</v>
      </c>
      <c r="O436" t="s">
        <v>31</v>
      </c>
      <c r="P436" t="s">
        <v>31</v>
      </c>
      <c r="Q436" t="s">
        <v>31</v>
      </c>
      <c r="R436" t="s">
        <v>31</v>
      </c>
      <c r="S436" t="s">
        <v>31</v>
      </c>
      <c r="T436">
        <v>49</v>
      </c>
      <c r="U436">
        <v>62</v>
      </c>
      <c r="V436" t="s">
        <v>31</v>
      </c>
      <c r="W436" t="s">
        <v>31</v>
      </c>
      <c r="X436" t="s">
        <v>31</v>
      </c>
      <c r="Y436" t="s">
        <v>31</v>
      </c>
      <c r="Z436" t="s">
        <v>31</v>
      </c>
      <c r="AA436">
        <v>0</v>
      </c>
    </row>
    <row r="437" spans="1:27" x14ac:dyDescent="0.25">
      <c r="A437">
        <v>437</v>
      </c>
      <c r="B437" t="s">
        <v>27</v>
      </c>
      <c r="C437">
        <v>850</v>
      </c>
      <c r="D437" t="s">
        <v>53</v>
      </c>
      <c r="E437">
        <v>5118230290020100</v>
      </c>
      <c r="F437">
        <v>5118230290020100</v>
      </c>
      <c r="G437" t="s">
        <v>1015</v>
      </c>
      <c r="H437" t="s">
        <v>1016</v>
      </c>
      <c r="I437" t="s">
        <v>31</v>
      </c>
      <c r="J437" t="s">
        <v>30</v>
      </c>
      <c r="K437" t="s">
        <v>1014</v>
      </c>
      <c r="L437" t="s">
        <v>31</v>
      </c>
      <c r="M437" t="s">
        <v>31</v>
      </c>
      <c r="N437" t="s">
        <v>31</v>
      </c>
      <c r="O437" t="s">
        <v>31</v>
      </c>
      <c r="P437" t="s">
        <v>31</v>
      </c>
      <c r="Q437" t="s">
        <v>31</v>
      </c>
      <c r="R437" t="s">
        <v>31</v>
      </c>
      <c r="S437" t="s">
        <v>31</v>
      </c>
      <c r="T437">
        <v>56</v>
      </c>
      <c r="U437">
        <v>82</v>
      </c>
      <c r="V437" t="s">
        <v>31</v>
      </c>
      <c r="W437" t="s">
        <v>31</v>
      </c>
      <c r="X437" t="s">
        <v>31</v>
      </c>
      <c r="Y437" t="s">
        <v>31</v>
      </c>
      <c r="Z437" t="s">
        <v>31</v>
      </c>
      <c r="AA437">
        <v>0</v>
      </c>
    </row>
    <row r="438" spans="1:27" x14ac:dyDescent="0.25">
      <c r="A438">
        <v>438</v>
      </c>
      <c r="B438" t="s">
        <v>27</v>
      </c>
      <c r="C438">
        <v>848</v>
      </c>
      <c r="D438" t="s">
        <v>53</v>
      </c>
      <c r="E438">
        <v>5118230290000100</v>
      </c>
      <c r="F438">
        <v>5118230290000100</v>
      </c>
      <c r="G438" t="s">
        <v>1017</v>
      </c>
      <c r="H438" t="s">
        <v>1018</v>
      </c>
      <c r="I438" t="s">
        <v>31</v>
      </c>
      <c r="J438" t="s">
        <v>30</v>
      </c>
      <c r="K438" t="s">
        <v>1019</v>
      </c>
      <c r="L438" t="s">
        <v>31</v>
      </c>
      <c r="M438" t="s">
        <v>31</v>
      </c>
      <c r="N438" t="s">
        <v>31</v>
      </c>
      <c r="O438" t="s">
        <v>31</v>
      </c>
      <c r="P438" t="s">
        <v>31</v>
      </c>
      <c r="Q438" t="s">
        <v>31</v>
      </c>
      <c r="R438" t="s">
        <v>31</v>
      </c>
      <c r="S438" t="s">
        <v>31</v>
      </c>
      <c r="T438">
        <v>140</v>
      </c>
      <c r="U438">
        <v>180</v>
      </c>
      <c r="V438" t="s">
        <v>31</v>
      </c>
      <c r="W438" t="s">
        <v>31</v>
      </c>
      <c r="X438" t="s">
        <v>31</v>
      </c>
      <c r="Y438" t="s">
        <v>31</v>
      </c>
      <c r="Z438" t="s">
        <v>31</v>
      </c>
      <c r="AA438">
        <v>0</v>
      </c>
    </row>
    <row r="439" spans="1:27" x14ac:dyDescent="0.25">
      <c r="A439">
        <v>439</v>
      </c>
      <c r="B439" t="s">
        <v>27</v>
      </c>
      <c r="C439">
        <v>649</v>
      </c>
      <c r="D439" t="s">
        <v>53</v>
      </c>
      <c r="E439">
        <v>5118230000209000</v>
      </c>
      <c r="F439">
        <v>5118230000209000</v>
      </c>
      <c r="G439" t="s">
        <v>1020</v>
      </c>
      <c r="H439">
        <v>209</v>
      </c>
      <c r="I439">
        <v>6253340209</v>
      </c>
      <c r="J439" t="s">
        <v>30</v>
      </c>
      <c r="K439" t="s">
        <v>1021</v>
      </c>
      <c r="L439" t="s">
        <v>31</v>
      </c>
      <c r="M439" t="s">
        <v>31</v>
      </c>
      <c r="N439">
        <v>0</v>
      </c>
      <c r="O439" t="s">
        <v>59</v>
      </c>
      <c r="P439" t="s">
        <v>118</v>
      </c>
      <c r="Q439" t="s">
        <v>47</v>
      </c>
      <c r="R439" t="s">
        <v>61</v>
      </c>
      <c r="S439" t="s">
        <v>61</v>
      </c>
      <c r="T439">
        <v>106</v>
      </c>
      <c r="U439">
        <v>160</v>
      </c>
      <c r="V439" t="s">
        <v>31</v>
      </c>
      <c r="W439" t="s">
        <v>38</v>
      </c>
      <c r="X439" t="s">
        <v>115</v>
      </c>
      <c r="Y439">
        <v>0</v>
      </c>
      <c r="Z439" t="s">
        <v>40</v>
      </c>
      <c r="AA439">
        <v>0</v>
      </c>
    </row>
    <row r="440" spans="1:27" x14ac:dyDescent="0.25">
      <c r="A440">
        <v>440</v>
      </c>
      <c r="B440" t="s">
        <v>27</v>
      </c>
      <c r="C440">
        <v>657</v>
      </c>
      <c r="D440" t="s">
        <v>53</v>
      </c>
      <c r="E440">
        <v>5118230000218000</v>
      </c>
      <c r="F440">
        <v>5118230000218000</v>
      </c>
      <c r="G440" t="s">
        <v>1022</v>
      </c>
      <c r="H440">
        <v>218</v>
      </c>
      <c r="I440">
        <v>6253350218</v>
      </c>
      <c r="J440" t="s">
        <v>30</v>
      </c>
      <c r="K440" t="s">
        <v>1023</v>
      </c>
      <c r="L440" t="s">
        <v>31</v>
      </c>
      <c r="M440" t="s">
        <v>31</v>
      </c>
      <c r="N440">
        <v>0</v>
      </c>
      <c r="O440" t="s">
        <v>59</v>
      </c>
      <c r="P440" t="s">
        <v>911</v>
      </c>
      <c r="Q440" t="s">
        <v>47</v>
      </c>
      <c r="R440" t="s">
        <v>31</v>
      </c>
      <c r="S440" t="s">
        <v>31</v>
      </c>
      <c r="T440">
        <v>120</v>
      </c>
      <c r="U440">
        <v>1</v>
      </c>
      <c r="V440" t="s">
        <v>37</v>
      </c>
      <c r="W440" t="s">
        <v>38</v>
      </c>
      <c r="X440" t="s">
        <v>39</v>
      </c>
      <c r="Y440">
        <v>0</v>
      </c>
      <c r="Z440" t="s">
        <v>1024</v>
      </c>
      <c r="AA440">
        <v>0</v>
      </c>
    </row>
    <row r="441" spans="1:27" x14ac:dyDescent="0.25">
      <c r="A441">
        <v>441</v>
      </c>
      <c r="B441" t="s">
        <v>27</v>
      </c>
      <c r="C441">
        <v>840</v>
      </c>
      <c r="D441" t="s">
        <v>53</v>
      </c>
      <c r="E441">
        <v>5118230260000100</v>
      </c>
      <c r="F441">
        <v>5118230260000100</v>
      </c>
      <c r="G441" t="s">
        <v>1025</v>
      </c>
      <c r="H441" t="s">
        <v>1026</v>
      </c>
      <c r="I441" t="s">
        <v>31</v>
      </c>
      <c r="J441" t="s">
        <v>30</v>
      </c>
      <c r="K441" t="s">
        <v>1027</v>
      </c>
      <c r="L441" t="s">
        <v>31</v>
      </c>
      <c r="M441" t="s">
        <v>31</v>
      </c>
      <c r="N441" t="s">
        <v>31</v>
      </c>
      <c r="O441" t="s">
        <v>31</v>
      </c>
      <c r="P441" t="s">
        <v>31</v>
      </c>
      <c r="Q441" t="s">
        <v>31</v>
      </c>
      <c r="R441" t="s">
        <v>31</v>
      </c>
      <c r="S441" t="s">
        <v>31</v>
      </c>
      <c r="T441">
        <v>0</v>
      </c>
      <c r="U441">
        <v>6</v>
      </c>
      <c r="V441" t="s">
        <v>31</v>
      </c>
      <c r="W441" t="s">
        <v>31</v>
      </c>
      <c r="X441" t="s">
        <v>31</v>
      </c>
      <c r="Y441" t="s">
        <v>31</v>
      </c>
      <c r="Z441" t="s">
        <v>31</v>
      </c>
      <c r="AA441">
        <v>0</v>
      </c>
    </row>
    <row r="442" spans="1:27" x14ac:dyDescent="0.25">
      <c r="A442">
        <v>442</v>
      </c>
      <c r="B442" t="s">
        <v>27</v>
      </c>
      <c r="C442">
        <v>937</v>
      </c>
      <c r="D442" t="s">
        <v>53</v>
      </c>
      <c r="E442">
        <v>5118232140000100</v>
      </c>
      <c r="F442">
        <v>5118232140000100</v>
      </c>
      <c r="G442" t="s">
        <v>1025</v>
      </c>
      <c r="H442" t="s">
        <v>1026</v>
      </c>
      <c r="I442" t="s">
        <v>31</v>
      </c>
      <c r="J442" t="s">
        <v>30</v>
      </c>
      <c r="K442" t="s">
        <v>1027</v>
      </c>
      <c r="L442" t="s">
        <v>31</v>
      </c>
      <c r="M442" t="s">
        <v>31</v>
      </c>
      <c r="N442" t="s">
        <v>31</v>
      </c>
      <c r="O442" t="s">
        <v>31</v>
      </c>
      <c r="P442" t="s">
        <v>31</v>
      </c>
      <c r="Q442" t="s">
        <v>31</v>
      </c>
      <c r="R442" t="s">
        <v>31</v>
      </c>
      <c r="S442" t="s">
        <v>31</v>
      </c>
      <c r="T442">
        <v>0</v>
      </c>
      <c r="U442">
        <v>6</v>
      </c>
      <c r="V442" t="s">
        <v>31</v>
      </c>
      <c r="W442" t="s">
        <v>31</v>
      </c>
      <c r="X442" t="s">
        <v>31</v>
      </c>
      <c r="Y442" t="s">
        <v>31</v>
      </c>
      <c r="Z442" t="s">
        <v>31</v>
      </c>
      <c r="AA442">
        <v>0</v>
      </c>
    </row>
    <row r="443" spans="1:27" x14ac:dyDescent="0.25">
      <c r="A443">
        <v>443</v>
      </c>
      <c r="B443" t="s">
        <v>27</v>
      </c>
      <c r="C443">
        <v>648</v>
      </c>
      <c r="D443" t="s">
        <v>53</v>
      </c>
      <c r="E443">
        <v>5118230000208000</v>
      </c>
      <c r="F443">
        <v>5118230000208000</v>
      </c>
      <c r="G443" t="s">
        <v>1015</v>
      </c>
      <c r="H443">
        <v>208</v>
      </c>
      <c r="I443">
        <v>6253340208</v>
      </c>
      <c r="J443" t="s">
        <v>30</v>
      </c>
      <c r="K443" t="s">
        <v>1028</v>
      </c>
      <c r="L443" t="s">
        <v>31</v>
      </c>
      <c r="M443" t="s">
        <v>31</v>
      </c>
      <c r="N443">
        <v>0</v>
      </c>
      <c r="O443" t="s">
        <v>59</v>
      </c>
      <c r="P443" t="s">
        <v>118</v>
      </c>
      <c r="Q443" t="s">
        <v>47</v>
      </c>
      <c r="R443" t="s">
        <v>61</v>
      </c>
      <c r="S443" t="s">
        <v>61</v>
      </c>
      <c r="T443">
        <v>56</v>
      </c>
      <c r="U443">
        <v>95</v>
      </c>
      <c r="V443" t="s">
        <v>31</v>
      </c>
      <c r="W443" t="s">
        <v>52</v>
      </c>
      <c r="X443" t="s">
        <v>39</v>
      </c>
      <c r="Y443">
        <v>0</v>
      </c>
      <c r="Z443" t="s">
        <v>40</v>
      </c>
      <c r="AA443">
        <v>5</v>
      </c>
    </row>
    <row r="444" spans="1:27" x14ac:dyDescent="0.25">
      <c r="A444">
        <v>444</v>
      </c>
      <c r="B444" t="s">
        <v>27</v>
      </c>
      <c r="C444">
        <v>842</v>
      </c>
      <c r="D444" t="s">
        <v>53</v>
      </c>
      <c r="E444">
        <v>5118230260020100</v>
      </c>
      <c r="F444">
        <v>5118230260020100</v>
      </c>
      <c r="G444" t="s">
        <v>1029</v>
      </c>
      <c r="H444" t="s">
        <v>1030</v>
      </c>
      <c r="I444" t="s">
        <v>31</v>
      </c>
      <c r="J444" t="s">
        <v>30</v>
      </c>
      <c r="K444" t="s">
        <v>1031</v>
      </c>
      <c r="L444" t="s">
        <v>31</v>
      </c>
      <c r="M444" t="s">
        <v>31</v>
      </c>
      <c r="N444" t="s">
        <v>31</v>
      </c>
      <c r="O444" t="s">
        <v>31</v>
      </c>
      <c r="P444" t="s">
        <v>31</v>
      </c>
      <c r="Q444" t="s">
        <v>31</v>
      </c>
      <c r="R444" t="s">
        <v>31</v>
      </c>
      <c r="S444" t="s">
        <v>31</v>
      </c>
      <c r="T444">
        <v>125</v>
      </c>
      <c r="U444">
        <v>154</v>
      </c>
      <c r="V444" t="s">
        <v>31</v>
      </c>
      <c r="W444" t="s">
        <v>31</v>
      </c>
      <c r="X444" t="s">
        <v>31</v>
      </c>
      <c r="Y444" t="s">
        <v>31</v>
      </c>
      <c r="Z444" t="s">
        <v>31</v>
      </c>
      <c r="AA444">
        <v>0</v>
      </c>
    </row>
    <row r="445" spans="1:27" x14ac:dyDescent="0.25">
      <c r="A445">
        <v>445</v>
      </c>
      <c r="B445" t="s">
        <v>27</v>
      </c>
      <c r="C445">
        <v>654</v>
      </c>
      <c r="D445" t="s">
        <v>53</v>
      </c>
      <c r="E445">
        <v>5118230000214000</v>
      </c>
      <c r="F445">
        <v>5118230000214000</v>
      </c>
      <c r="G445" t="s">
        <v>1029</v>
      </c>
      <c r="H445">
        <v>214</v>
      </c>
      <c r="I445">
        <v>6253350214</v>
      </c>
      <c r="J445" t="s">
        <v>30</v>
      </c>
      <c r="K445" t="s">
        <v>1032</v>
      </c>
      <c r="L445" t="s">
        <v>31</v>
      </c>
      <c r="M445" t="s">
        <v>31</v>
      </c>
      <c r="N445">
        <v>0</v>
      </c>
      <c r="O445" t="s">
        <v>59</v>
      </c>
      <c r="P445" t="s">
        <v>802</v>
      </c>
      <c r="Q445" t="s">
        <v>47</v>
      </c>
      <c r="R445" t="s">
        <v>61</v>
      </c>
      <c r="S445" t="s">
        <v>31</v>
      </c>
      <c r="T445">
        <v>120</v>
      </c>
      <c r="U445">
        <v>75</v>
      </c>
      <c r="V445" t="s">
        <v>31</v>
      </c>
      <c r="W445" t="s">
        <v>38</v>
      </c>
      <c r="X445" t="s">
        <v>115</v>
      </c>
      <c r="Y445">
        <v>0</v>
      </c>
      <c r="Z445" t="s">
        <v>1024</v>
      </c>
      <c r="AA445">
        <v>0</v>
      </c>
    </row>
    <row r="446" spans="1:27" x14ac:dyDescent="0.25">
      <c r="A446">
        <v>446</v>
      </c>
      <c r="B446" t="s">
        <v>27</v>
      </c>
      <c r="C446">
        <v>841</v>
      </c>
      <c r="D446" t="s">
        <v>53</v>
      </c>
      <c r="E446">
        <v>5118230260010100</v>
      </c>
      <c r="F446">
        <v>5118230260010100</v>
      </c>
      <c r="G446" t="s">
        <v>1033</v>
      </c>
      <c r="H446" t="s">
        <v>1034</v>
      </c>
      <c r="I446" t="s">
        <v>31</v>
      </c>
      <c r="J446" t="s">
        <v>30</v>
      </c>
      <c r="K446" t="s">
        <v>1031</v>
      </c>
      <c r="L446" t="s">
        <v>31</v>
      </c>
      <c r="M446" t="s">
        <v>31</v>
      </c>
      <c r="N446" t="s">
        <v>31</v>
      </c>
      <c r="O446" t="s">
        <v>31</v>
      </c>
      <c r="P446" t="s">
        <v>31</v>
      </c>
      <c r="Q446" t="s">
        <v>31</v>
      </c>
      <c r="R446" t="s">
        <v>31</v>
      </c>
      <c r="S446" t="s">
        <v>31</v>
      </c>
      <c r="T446">
        <v>44</v>
      </c>
      <c r="U446">
        <v>80</v>
      </c>
      <c r="V446" t="s">
        <v>31</v>
      </c>
      <c r="W446" t="s">
        <v>31</v>
      </c>
      <c r="X446" t="s">
        <v>31</v>
      </c>
      <c r="Y446" t="s">
        <v>31</v>
      </c>
      <c r="Z446" t="s">
        <v>31</v>
      </c>
      <c r="AA446">
        <v>0</v>
      </c>
    </row>
    <row r="447" spans="1:27" x14ac:dyDescent="0.25">
      <c r="A447">
        <v>447</v>
      </c>
      <c r="B447" t="s">
        <v>27</v>
      </c>
      <c r="C447">
        <v>656</v>
      </c>
      <c r="D447" t="s">
        <v>53</v>
      </c>
      <c r="E447">
        <v>5118230000217000</v>
      </c>
      <c r="F447">
        <v>5118230000217000</v>
      </c>
      <c r="G447" t="s">
        <v>1033</v>
      </c>
      <c r="H447">
        <v>217</v>
      </c>
      <c r="I447">
        <v>6253350217</v>
      </c>
      <c r="J447" t="s">
        <v>30</v>
      </c>
      <c r="K447" t="s">
        <v>1035</v>
      </c>
      <c r="L447" t="s">
        <v>31</v>
      </c>
      <c r="M447" t="s">
        <v>31</v>
      </c>
      <c r="N447">
        <v>0</v>
      </c>
      <c r="O447" t="s">
        <v>59</v>
      </c>
      <c r="P447" t="s">
        <v>766</v>
      </c>
      <c r="Q447" t="s">
        <v>35</v>
      </c>
      <c r="R447" t="s">
        <v>61</v>
      </c>
      <c r="S447" t="s">
        <v>31</v>
      </c>
      <c r="T447">
        <v>44</v>
      </c>
      <c r="U447">
        <v>65</v>
      </c>
      <c r="V447" t="s">
        <v>31</v>
      </c>
      <c r="W447" t="s">
        <v>52</v>
      </c>
      <c r="X447" t="s">
        <v>39</v>
      </c>
      <c r="Y447">
        <v>0</v>
      </c>
      <c r="Z447" t="s">
        <v>40</v>
      </c>
      <c r="AA447">
        <v>0</v>
      </c>
    </row>
    <row r="448" spans="1:27" x14ac:dyDescent="0.25">
      <c r="A448">
        <v>448</v>
      </c>
      <c r="B448" t="s">
        <v>27</v>
      </c>
      <c r="C448">
        <v>651</v>
      </c>
      <c r="D448" t="s">
        <v>53</v>
      </c>
      <c r="E448">
        <v>5118230000211000</v>
      </c>
      <c r="F448">
        <v>5118230000211000</v>
      </c>
      <c r="G448" t="s">
        <v>1036</v>
      </c>
      <c r="H448">
        <v>211</v>
      </c>
      <c r="I448">
        <v>6253340211</v>
      </c>
      <c r="J448" t="s">
        <v>30</v>
      </c>
      <c r="K448" t="s">
        <v>1037</v>
      </c>
      <c r="L448" t="s">
        <v>31</v>
      </c>
      <c r="M448" t="s">
        <v>31</v>
      </c>
      <c r="N448">
        <v>0</v>
      </c>
      <c r="O448" t="s">
        <v>557</v>
      </c>
      <c r="P448" t="s">
        <v>802</v>
      </c>
      <c r="Q448" t="s">
        <v>35</v>
      </c>
      <c r="R448" t="s">
        <v>61</v>
      </c>
      <c r="S448" t="s">
        <v>61</v>
      </c>
      <c r="T448">
        <v>8</v>
      </c>
      <c r="U448">
        <v>10</v>
      </c>
      <c r="V448" t="s">
        <v>31</v>
      </c>
      <c r="W448" t="s">
        <v>37</v>
      </c>
      <c r="X448" t="s">
        <v>115</v>
      </c>
      <c r="Y448">
        <v>0</v>
      </c>
      <c r="Z448" t="s">
        <v>40</v>
      </c>
      <c r="AA448">
        <v>1</v>
      </c>
    </row>
    <row r="449" spans="1:27" x14ac:dyDescent="0.25">
      <c r="A449">
        <v>449</v>
      </c>
      <c r="B449" t="s">
        <v>27</v>
      </c>
      <c r="C449">
        <v>500</v>
      </c>
      <c r="D449" t="s">
        <v>53</v>
      </c>
      <c r="E449">
        <v>5118230000059000</v>
      </c>
      <c r="F449">
        <v>5118230000059000</v>
      </c>
      <c r="G449" t="s">
        <v>580</v>
      </c>
      <c r="H449">
        <v>59</v>
      </c>
      <c r="I449">
        <v>6253010059</v>
      </c>
      <c r="J449" t="s">
        <v>30</v>
      </c>
      <c r="K449" t="s">
        <v>1038</v>
      </c>
      <c r="L449" t="s">
        <v>31</v>
      </c>
      <c r="M449" t="s">
        <v>31</v>
      </c>
      <c r="N449">
        <v>0</v>
      </c>
      <c r="O449" t="s">
        <v>59</v>
      </c>
      <c r="P449" t="s">
        <v>1039</v>
      </c>
      <c r="Q449" t="s">
        <v>47</v>
      </c>
      <c r="R449" t="s">
        <v>61</v>
      </c>
      <c r="S449" t="s">
        <v>61</v>
      </c>
      <c r="T449">
        <v>48</v>
      </c>
      <c r="U449">
        <v>124.71</v>
      </c>
      <c r="V449" t="s">
        <v>31</v>
      </c>
      <c r="W449" t="s">
        <v>52</v>
      </c>
      <c r="X449" t="s">
        <v>85</v>
      </c>
      <c r="Y449">
        <v>0</v>
      </c>
      <c r="Z449" t="s">
        <v>40</v>
      </c>
      <c r="AA449">
        <v>0</v>
      </c>
    </row>
    <row r="450" spans="1:27" x14ac:dyDescent="0.25">
      <c r="A450">
        <v>450</v>
      </c>
      <c r="B450" t="s">
        <v>27</v>
      </c>
      <c r="C450">
        <v>852</v>
      </c>
      <c r="D450" t="s">
        <v>53</v>
      </c>
      <c r="E450">
        <v>5118230290040100</v>
      </c>
      <c r="F450">
        <v>5118230290040100</v>
      </c>
      <c r="G450" t="s">
        <v>1040</v>
      </c>
      <c r="H450" t="s">
        <v>1041</v>
      </c>
      <c r="I450" t="s">
        <v>31</v>
      </c>
      <c r="J450" t="s">
        <v>30</v>
      </c>
      <c r="K450" t="s">
        <v>1014</v>
      </c>
      <c r="L450" t="s">
        <v>31</v>
      </c>
      <c r="M450" t="s">
        <v>31</v>
      </c>
      <c r="N450" t="s">
        <v>31</v>
      </c>
      <c r="O450" t="s">
        <v>31</v>
      </c>
      <c r="P450" t="s">
        <v>31</v>
      </c>
      <c r="Q450" t="s">
        <v>31</v>
      </c>
      <c r="R450" t="s">
        <v>31</v>
      </c>
      <c r="S450" t="s">
        <v>31</v>
      </c>
      <c r="T450">
        <v>9</v>
      </c>
      <c r="U450">
        <v>33</v>
      </c>
      <c r="V450" t="s">
        <v>31</v>
      </c>
      <c r="W450" t="s">
        <v>31</v>
      </c>
      <c r="X450" t="s">
        <v>31</v>
      </c>
      <c r="Y450" t="s">
        <v>31</v>
      </c>
      <c r="Z450" t="s">
        <v>31</v>
      </c>
      <c r="AA450">
        <v>0</v>
      </c>
    </row>
    <row r="451" spans="1:27" x14ac:dyDescent="0.25">
      <c r="A451">
        <v>451</v>
      </c>
      <c r="B451" t="s">
        <v>27</v>
      </c>
      <c r="C451">
        <v>809</v>
      </c>
      <c r="D451" t="s">
        <v>53</v>
      </c>
      <c r="E451">
        <v>5118230220000100</v>
      </c>
      <c r="F451">
        <v>5118230220000100</v>
      </c>
      <c r="G451" t="s">
        <v>1042</v>
      </c>
      <c r="H451" t="s">
        <v>1043</v>
      </c>
      <c r="I451" t="s">
        <v>31</v>
      </c>
      <c r="J451" t="s">
        <v>30</v>
      </c>
      <c r="K451" t="s">
        <v>1044</v>
      </c>
      <c r="L451" t="s">
        <v>31</v>
      </c>
      <c r="M451" t="s">
        <v>31</v>
      </c>
      <c r="N451" t="s">
        <v>31</v>
      </c>
      <c r="O451" t="s">
        <v>31</v>
      </c>
      <c r="P451" t="s">
        <v>31</v>
      </c>
      <c r="Q451" t="s">
        <v>31</v>
      </c>
      <c r="R451" t="s">
        <v>31</v>
      </c>
      <c r="S451" t="s">
        <v>31</v>
      </c>
      <c r="T451">
        <v>26</v>
      </c>
      <c r="U451">
        <v>33</v>
      </c>
      <c r="V451" t="s">
        <v>31</v>
      </c>
      <c r="W451" t="s">
        <v>31</v>
      </c>
      <c r="X451" t="s">
        <v>31</v>
      </c>
      <c r="Y451" t="s">
        <v>31</v>
      </c>
      <c r="Z451" t="s">
        <v>31</v>
      </c>
      <c r="AA451">
        <v>0</v>
      </c>
    </row>
    <row r="452" spans="1:27" x14ac:dyDescent="0.25">
      <c r="A452">
        <v>452</v>
      </c>
      <c r="B452" t="s">
        <v>27</v>
      </c>
      <c r="C452">
        <v>650</v>
      </c>
      <c r="D452" t="s">
        <v>53</v>
      </c>
      <c r="E452">
        <v>5118230000210000</v>
      </c>
      <c r="F452">
        <v>5118230000210000</v>
      </c>
      <c r="G452" t="s">
        <v>1045</v>
      </c>
      <c r="H452">
        <v>210</v>
      </c>
      <c r="I452">
        <v>6253340210</v>
      </c>
      <c r="J452" t="s">
        <v>30</v>
      </c>
      <c r="K452" t="s">
        <v>1037</v>
      </c>
      <c r="L452" t="s">
        <v>31</v>
      </c>
      <c r="M452" t="s">
        <v>31</v>
      </c>
      <c r="N452">
        <v>0</v>
      </c>
      <c r="O452" t="s">
        <v>557</v>
      </c>
      <c r="P452" t="s">
        <v>802</v>
      </c>
      <c r="Q452" t="s">
        <v>35</v>
      </c>
      <c r="R452" t="s">
        <v>61</v>
      </c>
      <c r="S452" t="s">
        <v>61</v>
      </c>
      <c r="T452">
        <v>43</v>
      </c>
      <c r="U452">
        <v>25</v>
      </c>
      <c r="V452" t="s">
        <v>31</v>
      </c>
      <c r="W452" t="s">
        <v>52</v>
      </c>
      <c r="X452" t="s">
        <v>39</v>
      </c>
      <c r="Y452">
        <v>0</v>
      </c>
      <c r="Z452" t="s">
        <v>40</v>
      </c>
      <c r="AA452">
        <v>0</v>
      </c>
    </row>
    <row r="453" spans="1:27" x14ac:dyDescent="0.25">
      <c r="A453">
        <v>453</v>
      </c>
      <c r="B453" t="s">
        <v>27</v>
      </c>
      <c r="C453">
        <v>624</v>
      </c>
      <c r="D453" t="s">
        <v>53</v>
      </c>
      <c r="E453">
        <v>5118230000184000</v>
      </c>
      <c r="F453">
        <v>5118230000184000</v>
      </c>
      <c r="G453" t="s">
        <v>1042</v>
      </c>
      <c r="H453">
        <v>184</v>
      </c>
      <c r="I453">
        <v>6253260184</v>
      </c>
      <c r="J453" t="s">
        <v>30</v>
      </c>
      <c r="K453" t="s">
        <v>1046</v>
      </c>
      <c r="L453" t="s">
        <v>31</v>
      </c>
      <c r="M453" t="s">
        <v>31</v>
      </c>
      <c r="N453">
        <v>0</v>
      </c>
      <c r="O453" t="s">
        <v>59</v>
      </c>
      <c r="P453" t="s">
        <v>31</v>
      </c>
      <c r="Q453" t="s">
        <v>47</v>
      </c>
      <c r="R453" t="s">
        <v>31</v>
      </c>
      <c r="S453" t="s">
        <v>31</v>
      </c>
      <c r="T453">
        <v>28</v>
      </c>
      <c r="U453">
        <v>90</v>
      </c>
      <c r="V453" t="s">
        <v>31</v>
      </c>
      <c r="W453" t="s">
        <v>52</v>
      </c>
      <c r="X453" t="s">
        <v>39</v>
      </c>
      <c r="Y453">
        <v>0</v>
      </c>
      <c r="Z453" t="s">
        <v>40</v>
      </c>
      <c r="AA453">
        <v>0</v>
      </c>
    </row>
    <row r="454" spans="1:27" x14ac:dyDescent="0.25">
      <c r="A454">
        <v>454</v>
      </c>
      <c r="B454" t="s">
        <v>27</v>
      </c>
      <c r="C454">
        <v>851</v>
      </c>
      <c r="D454" t="s">
        <v>53</v>
      </c>
      <c r="E454">
        <v>5118230290030100</v>
      </c>
      <c r="F454">
        <v>5118230290030100</v>
      </c>
      <c r="G454" t="s">
        <v>1036</v>
      </c>
      <c r="H454" t="s">
        <v>1047</v>
      </c>
      <c r="I454" t="s">
        <v>31</v>
      </c>
      <c r="J454" t="s">
        <v>30</v>
      </c>
      <c r="K454" t="s">
        <v>1014</v>
      </c>
      <c r="L454" t="s">
        <v>31</v>
      </c>
      <c r="M454" t="s">
        <v>31</v>
      </c>
      <c r="N454" t="s">
        <v>31</v>
      </c>
      <c r="O454" t="s">
        <v>31</v>
      </c>
      <c r="P454" t="s">
        <v>31</v>
      </c>
      <c r="Q454" t="s">
        <v>31</v>
      </c>
      <c r="R454" t="s">
        <v>31</v>
      </c>
      <c r="S454" t="s">
        <v>31</v>
      </c>
      <c r="T454">
        <v>27</v>
      </c>
      <c r="U454">
        <v>49</v>
      </c>
      <c r="V454" t="s">
        <v>31</v>
      </c>
      <c r="W454" t="s">
        <v>31</v>
      </c>
      <c r="X454" t="s">
        <v>31</v>
      </c>
      <c r="Y454" t="s">
        <v>31</v>
      </c>
      <c r="Z454" t="s">
        <v>31</v>
      </c>
      <c r="AA454">
        <v>0</v>
      </c>
    </row>
    <row r="455" spans="1:27" x14ac:dyDescent="0.25">
      <c r="A455">
        <v>455</v>
      </c>
      <c r="B455" t="s">
        <v>27</v>
      </c>
      <c r="C455">
        <v>596</v>
      </c>
      <c r="D455" t="s">
        <v>41</v>
      </c>
      <c r="E455">
        <v>5118230000156000</v>
      </c>
      <c r="F455">
        <v>5118230000156000</v>
      </c>
      <c r="G455" t="s">
        <v>1048</v>
      </c>
      <c r="H455">
        <v>156</v>
      </c>
      <c r="I455">
        <v>6253250156</v>
      </c>
      <c r="J455" t="s">
        <v>30</v>
      </c>
      <c r="K455" t="s">
        <v>1049</v>
      </c>
      <c r="L455" t="s">
        <v>31</v>
      </c>
      <c r="M455" t="s">
        <v>31</v>
      </c>
      <c r="N455">
        <v>0</v>
      </c>
      <c r="O455" t="s">
        <v>31</v>
      </c>
      <c r="P455" t="s">
        <v>31</v>
      </c>
      <c r="Q455" t="s">
        <v>35</v>
      </c>
      <c r="R455" t="s">
        <v>31</v>
      </c>
      <c r="S455" t="s">
        <v>31</v>
      </c>
      <c r="T455">
        <v>500</v>
      </c>
      <c r="U455">
        <v>750</v>
      </c>
      <c r="V455" t="s">
        <v>31</v>
      </c>
      <c r="W455" t="s">
        <v>38</v>
      </c>
      <c r="X455" t="s">
        <v>115</v>
      </c>
      <c r="Y455">
        <v>0</v>
      </c>
      <c r="Z455" t="s">
        <v>834</v>
      </c>
      <c r="AA455">
        <v>0</v>
      </c>
    </row>
    <row r="456" spans="1:27" x14ac:dyDescent="0.25">
      <c r="A456">
        <v>456</v>
      </c>
      <c r="B456" t="s">
        <v>27</v>
      </c>
      <c r="C456">
        <v>831</v>
      </c>
      <c r="D456" t="s">
        <v>41</v>
      </c>
      <c r="E456">
        <v>5118230250000100</v>
      </c>
      <c r="F456">
        <v>5118230250000100</v>
      </c>
      <c r="G456" t="s">
        <v>1050</v>
      </c>
      <c r="H456" t="s">
        <v>1051</v>
      </c>
      <c r="I456" t="s">
        <v>31</v>
      </c>
      <c r="J456" t="s">
        <v>30</v>
      </c>
      <c r="K456" t="s">
        <v>1052</v>
      </c>
      <c r="L456" t="s">
        <v>31</v>
      </c>
      <c r="M456" t="s">
        <v>31</v>
      </c>
      <c r="N456" t="s">
        <v>31</v>
      </c>
      <c r="O456" t="s">
        <v>31</v>
      </c>
      <c r="P456" t="s">
        <v>31</v>
      </c>
      <c r="Q456" t="s">
        <v>31</v>
      </c>
      <c r="R456" t="s">
        <v>31</v>
      </c>
      <c r="S456" t="s">
        <v>31</v>
      </c>
      <c r="T456">
        <v>210</v>
      </c>
      <c r="U456">
        <v>300</v>
      </c>
      <c r="V456" t="s">
        <v>31</v>
      </c>
      <c r="W456" t="s">
        <v>31</v>
      </c>
      <c r="X456" t="s">
        <v>31</v>
      </c>
      <c r="Y456" t="s">
        <v>31</v>
      </c>
      <c r="Z456" t="s">
        <v>31</v>
      </c>
      <c r="AA456">
        <v>0</v>
      </c>
    </row>
    <row r="457" spans="1:27" x14ac:dyDescent="0.25">
      <c r="A457">
        <v>457</v>
      </c>
      <c r="B457" t="s">
        <v>27</v>
      </c>
      <c r="C457">
        <v>599</v>
      </c>
      <c r="D457" t="s">
        <v>28</v>
      </c>
      <c r="E457">
        <v>5118230000159000</v>
      </c>
      <c r="F457">
        <v>5118230000159000</v>
      </c>
      <c r="G457" t="s">
        <v>1053</v>
      </c>
      <c r="H457">
        <v>159</v>
      </c>
      <c r="I457">
        <v>6253250159</v>
      </c>
      <c r="J457" t="s">
        <v>30</v>
      </c>
      <c r="K457" t="s">
        <v>1054</v>
      </c>
      <c r="L457" t="s">
        <v>31</v>
      </c>
      <c r="M457" t="s">
        <v>31</v>
      </c>
      <c r="N457">
        <v>0</v>
      </c>
      <c r="O457" t="s">
        <v>557</v>
      </c>
      <c r="P457" t="s">
        <v>872</v>
      </c>
      <c r="Q457" t="s">
        <v>35</v>
      </c>
      <c r="R457" t="s">
        <v>36</v>
      </c>
      <c r="S457" t="s">
        <v>36</v>
      </c>
      <c r="T457">
        <v>68</v>
      </c>
      <c r="U457">
        <v>80</v>
      </c>
      <c r="V457" t="s">
        <v>37</v>
      </c>
      <c r="W457" t="s">
        <v>52</v>
      </c>
      <c r="X457" t="s">
        <v>39</v>
      </c>
      <c r="Y457">
        <v>0</v>
      </c>
      <c r="Z457" t="s">
        <v>40</v>
      </c>
      <c r="AA457">
        <v>0</v>
      </c>
    </row>
    <row r="458" spans="1:27" x14ac:dyDescent="0.25">
      <c r="A458">
        <v>458</v>
      </c>
      <c r="B458" t="s">
        <v>27</v>
      </c>
      <c r="C458">
        <v>832</v>
      </c>
      <c r="D458" t="s">
        <v>53</v>
      </c>
      <c r="E458">
        <v>5118230250010100</v>
      </c>
      <c r="F458">
        <v>5118230250010100</v>
      </c>
      <c r="G458" t="s">
        <v>1055</v>
      </c>
      <c r="H458" t="s">
        <v>1056</v>
      </c>
      <c r="I458" t="s">
        <v>31</v>
      </c>
      <c r="J458" t="s">
        <v>30</v>
      </c>
      <c r="K458" t="s">
        <v>1057</v>
      </c>
      <c r="L458" t="s">
        <v>31</v>
      </c>
      <c r="M458" t="s">
        <v>31</v>
      </c>
      <c r="N458" t="s">
        <v>31</v>
      </c>
      <c r="O458" t="s">
        <v>31</v>
      </c>
      <c r="P458" t="s">
        <v>31</v>
      </c>
      <c r="Q458" t="s">
        <v>31</v>
      </c>
      <c r="R458" t="s">
        <v>31</v>
      </c>
      <c r="S458" t="s">
        <v>31</v>
      </c>
      <c r="T458">
        <v>11</v>
      </c>
      <c r="U458">
        <v>28</v>
      </c>
      <c r="V458" t="s">
        <v>31</v>
      </c>
      <c r="W458" t="s">
        <v>31</v>
      </c>
      <c r="X458" t="s">
        <v>31</v>
      </c>
      <c r="Y458" t="s">
        <v>31</v>
      </c>
      <c r="Z458" t="s">
        <v>31</v>
      </c>
      <c r="AA458">
        <v>0</v>
      </c>
    </row>
    <row r="459" spans="1:27" x14ac:dyDescent="0.25">
      <c r="A459">
        <v>459</v>
      </c>
      <c r="B459" t="s">
        <v>27</v>
      </c>
      <c r="C459">
        <v>454</v>
      </c>
      <c r="D459" t="s">
        <v>53</v>
      </c>
      <c r="E459">
        <v>5118230000013000</v>
      </c>
      <c r="F459">
        <v>5118230000013000</v>
      </c>
      <c r="G459" t="s">
        <v>1058</v>
      </c>
      <c r="H459">
        <v>13</v>
      </c>
      <c r="I459">
        <v>6253250013</v>
      </c>
      <c r="J459" t="s">
        <v>30</v>
      </c>
      <c r="K459" t="s">
        <v>1059</v>
      </c>
      <c r="L459" t="s">
        <v>31</v>
      </c>
      <c r="M459" t="s">
        <v>31</v>
      </c>
      <c r="N459">
        <v>0</v>
      </c>
      <c r="O459" t="s">
        <v>59</v>
      </c>
      <c r="P459" t="s">
        <v>1060</v>
      </c>
      <c r="Q459" t="s">
        <v>47</v>
      </c>
      <c r="R459" t="s">
        <v>61</v>
      </c>
      <c r="S459" t="s">
        <v>61</v>
      </c>
      <c r="T459">
        <v>20</v>
      </c>
      <c r="U459">
        <v>360</v>
      </c>
      <c r="V459" t="s">
        <v>31</v>
      </c>
      <c r="W459" t="s">
        <v>52</v>
      </c>
      <c r="X459" t="s">
        <v>39</v>
      </c>
      <c r="Y459">
        <v>0</v>
      </c>
      <c r="Z459" t="s">
        <v>40</v>
      </c>
      <c r="AA459">
        <v>0</v>
      </c>
    </row>
    <row r="460" spans="1:27" x14ac:dyDescent="0.25">
      <c r="A460">
        <v>460</v>
      </c>
      <c r="B460" t="s">
        <v>27</v>
      </c>
      <c r="C460">
        <v>830</v>
      </c>
      <c r="D460" t="s">
        <v>28</v>
      </c>
      <c r="E460">
        <v>5118230250000100</v>
      </c>
      <c r="F460">
        <v>5118230250000100</v>
      </c>
      <c r="G460" t="s">
        <v>1061</v>
      </c>
      <c r="H460" t="s">
        <v>1062</v>
      </c>
      <c r="I460" t="s">
        <v>31</v>
      </c>
      <c r="J460" t="s">
        <v>30</v>
      </c>
      <c r="K460" t="s">
        <v>1063</v>
      </c>
      <c r="L460" t="s">
        <v>31</v>
      </c>
      <c r="M460" t="s">
        <v>31</v>
      </c>
      <c r="N460" t="s">
        <v>31</v>
      </c>
      <c r="O460" t="s">
        <v>31</v>
      </c>
      <c r="P460" t="s">
        <v>31</v>
      </c>
      <c r="Q460" t="s">
        <v>31</v>
      </c>
      <c r="R460" t="s">
        <v>31</v>
      </c>
      <c r="S460" t="s">
        <v>31</v>
      </c>
      <c r="T460">
        <v>69</v>
      </c>
      <c r="U460">
        <v>84</v>
      </c>
      <c r="V460" t="s">
        <v>31</v>
      </c>
      <c r="W460" t="s">
        <v>31</v>
      </c>
      <c r="X460" t="s">
        <v>31</v>
      </c>
      <c r="Y460" t="s">
        <v>31</v>
      </c>
      <c r="Z460" t="s">
        <v>31</v>
      </c>
      <c r="AA460">
        <v>0</v>
      </c>
    </row>
    <row r="461" spans="1:27" x14ac:dyDescent="0.25">
      <c r="A461">
        <v>461</v>
      </c>
      <c r="B461" t="s">
        <v>27</v>
      </c>
      <c r="C461">
        <v>597</v>
      </c>
      <c r="D461" t="s">
        <v>53</v>
      </c>
      <c r="E461">
        <v>5118230000157000</v>
      </c>
      <c r="F461">
        <v>5118230000157000</v>
      </c>
      <c r="G461" t="s">
        <v>1064</v>
      </c>
      <c r="H461">
        <v>157</v>
      </c>
      <c r="I461">
        <v>6253250157</v>
      </c>
      <c r="J461" t="s">
        <v>30</v>
      </c>
      <c r="K461" t="s">
        <v>1065</v>
      </c>
      <c r="L461" t="s">
        <v>31</v>
      </c>
      <c r="M461" t="s">
        <v>31</v>
      </c>
      <c r="N461">
        <v>0</v>
      </c>
      <c r="O461" t="s">
        <v>557</v>
      </c>
      <c r="P461" t="s">
        <v>802</v>
      </c>
      <c r="Q461" t="s">
        <v>35</v>
      </c>
      <c r="R461" t="s">
        <v>31</v>
      </c>
      <c r="S461" t="s">
        <v>61</v>
      </c>
      <c r="T461">
        <v>10</v>
      </c>
      <c r="U461">
        <v>15</v>
      </c>
      <c r="V461" t="s">
        <v>31</v>
      </c>
      <c r="W461" t="s">
        <v>52</v>
      </c>
      <c r="X461" t="s">
        <v>39</v>
      </c>
      <c r="Y461">
        <v>0</v>
      </c>
      <c r="Z461" t="s">
        <v>40</v>
      </c>
      <c r="AA461">
        <v>0</v>
      </c>
    </row>
    <row r="462" spans="1:27" x14ac:dyDescent="0.25">
      <c r="A462">
        <v>462</v>
      </c>
      <c r="B462" t="s">
        <v>27</v>
      </c>
      <c r="C462">
        <v>603</v>
      </c>
      <c r="D462" t="s">
        <v>53</v>
      </c>
      <c r="E462">
        <v>5118230000163000</v>
      </c>
      <c r="F462">
        <v>5118230000163000</v>
      </c>
      <c r="G462" t="s">
        <v>1066</v>
      </c>
      <c r="H462">
        <v>163</v>
      </c>
      <c r="I462">
        <v>6253250163</v>
      </c>
      <c r="J462" t="s">
        <v>30</v>
      </c>
      <c r="K462" t="s">
        <v>1067</v>
      </c>
      <c r="L462" t="s">
        <v>31</v>
      </c>
      <c r="M462" t="s">
        <v>31</v>
      </c>
      <c r="N462">
        <v>0</v>
      </c>
      <c r="O462" t="s">
        <v>59</v>
      </c>
      <c r="P462" t="s">
        <v>1060</v>
      </c>
      <c r="Q462" t="s">
        <v>47</v>
      </c>
      <c r="R462" t="s">
        <v>61</v>
      </c>
      <c r="S462" t="s">
        <v>61</v>
      </c>
      <c r="T462">
        <v>51</v>
      </c>
      <c r="U462">
        <v>1</v>
      </c>
      <c r="V462" t="s">
        <v>31</v>
      </c>
      <c r="W462" t="s">
        <v>52</v>
      </c>
      <c r="X462" t="s">
        <v>39</v>
      </c>
      <c r="Y462">
        <v>0</v>
      </c>
      <c r="Z462" t="s">
        <v>40</v>
      </c>
      <c r="AA462">
        <v>0</v>
      </c>
    </row>
    <row r="463" spans="1:27" x14ac:dyDescent="0.25">
      <c r="A463">
        <v>463</v>
      </c>
      <c r="B463" t="s">
        <v>27</v>
      </c>
      <c r="C463">
        <v>829</v>
      </c>
      <c r="D463" t="s">
        <v>53</v>
      </c>
      <c r="E463">
        <v>5118230250000100</v>
      </c>
      <c r="F463">
        <v>5118230250000100</v>
      </c>
      <c r="G463" t="s">
        <v>1068</v>
      </c>
      <c r="H463" t="s">
        <v>1069</v>
      </c>
      <c r="I463" t="s">
        <v>31</v>
      </c>
      <c r="J463" t="s">
        <v>30</v>
      </c>
      <c r="K463" t="s">
        <v>1057</v>
      </c>
      <c r="L463" t="s">
        <v>31</v>
      </c>
      <c r="M463" t="s">
        <v>31</v>
      </c>
      <c r="N463" t="s">
        <v>31</v>
      </c>
      <c r="O463" t="s">
        <v>31</v>
      </c>
      <c r="P463" t="s">
        <v>31</v>
      </c>
      <c r="Q463" t="s">
        <v>31</v>
      </c>
      <c r="R463" t="s">
        <v>31</v>
      </c>
      <c r="S463" t="s">
        <v>31</v>
      </c>
      <c r="T463">
        <v>36</v>
      </c>
      <c r="U463">
        <v>50</v>
      </c>
      <c r="V463" t="s">
        <v>31</v>
      </c>
      <c r="W463" t="s">
        <v>31</v>
      </c>
      <c r="X463" t="s">
        <v>31</v>
      </c>
      <c r="Y463" t="s">
        <v>31</v>
      </c>
      <c r="Z463" t="s">
        <v>31</v>
      </c>
      <c r="AA463">
        <v>0</v>
      </c>
    </row>
    <row r="464" spans="1:27" x14ac:dyDescent="0.25">
      <c r="A464">
        <v>464</v>
      </c>
      <c r="B464" t="s">
        <v>27</v>
      </c>
      <c r="C464">
        <v>598</v>
      </c>
      <c r="D464" t="s">
        <v>53</v>
      </c>
      <c r="E464">
        <v>5118230000158000</v>
      </c>
      <c r="F464">
        <v>5118230000158000</v>
      </c>
      <c r="G464" t="s">
        <v>1070</v>
      </c>
      <c r="H464">
        <v>158</v>
      </c>
      <c r="I464">
        <v>6253250158</v>
      </c>
      <c r="J464" t="s">
        <v>30</v>
      </c>
      <c r="K464" t="s">
        <v>1071</v>
      </c>
      <c r="L464" t="s">
        <v>31</v>
      </c>
      <c r="M464" t="s">
        <v>31</v>
      </c>
      <c r="N464">
        <v>0</v>
      </c>
      <c r="O464" t="s">
        <v>557</v>
      </c>
      <c r="P464" t="s">
        <v>802</v>
      </c>
      <c r="Q464" t="s">
        <v>35</v>
      </c>
      <c r="R464" t="s">
        <v>61</v>
      </c>
      <c r="S464" t="s">
        <v>61</v>
      </c>
      <c r="T464">
        <v>300</v>
      </c>
      <c r="U464">
        <v>210</v>
      </c>
      <c r="V464" t="s">
        <v>31</v>
      </c>
      <c r="W464" t="s">
        <v>38</v>
      </c>
      <c r="X464" t="s">
        <v>39</v>
      </c>
      <c r="Y464">
        <v>0</v>
      </c>
      <c r="Z464" t="s">
        <v>40</v>
      </c>
      <c r="AA464">
        <v>0</v>
      </c>
    </row>
    <row r="465" spans="1:27" x14ac:dyDescent="0.25">
      <c r="A465">
        <v>465</v>
      </c>
      <c r="B465" t="s">
        <v>27</v>
      </c>
      <c r="C465">
        <v>834</v>
      </c>
      <c r="D465" t="s">
        <v>53</v>
      </c>
      <c r="E465">
        <v>5118230250030100</v>
      </c>
      <c r="F465">
        <v>5118230250030100</v>
      </c>
      <c r="G465" t="s">
        <v>1072</v>
      </c>
      <c r="H465" t="s">
        <v>1073</v>
      </c>
      <c r="I465" t="s">
        <v>31</v>
      </c>
      <c r="J465" t="s">
        <v>30</v>
      </c>
      <c r="K465" t="s">
        <v>1074</v>
      </c>
      <c r="L465" t="s">
        <v>31</v>
      </c>
      <c r="M465" t="s">
        <v>31</v>
      </c>
      <c r="N465" t="s">
        <v>31</v>
      </c>
      <c r="O465" t="s">
        <v>31</v>
      </c>
      <c r="P465" t="s">
        <v>31</v>
      </c>
      <c r="Q465" t="s">
        <v>31</v>
      </c>
      <c r="R465" t="s">
        <v>31</v>
      </c>
      <c r="S465" t="s">
        <v>31</v>
      </c>
      <c r="T465">
        <v>13</v>
      </c>
      <c r="U465">
        <v>19</v>
      </c>
      <c r="V465" t="s">
        <v>31</v>
      </c>
      <c r="W465" t="s">
        <v>31</v>
      </c>
      <c r="X465" t="s">
        <v>31</v>
      </c>
      <c r="Y465" t="s">
        <v>31</v>
      </c>
      <c r="Z465" t="s">
        <v>31</v>
      </c>
      <c r="AA465">
        <v>0</v>
      </c>
    </row>
    <row r="466" spans="1:27" x14ac:dyDescent="0.25">
      <c r="A466">
        <v>466</v>
      </c>
      <c r="B466" t="s">
        <v>27</v>
      </c>
      <c r="C466">
        <v>605</v>
      </c>
      <c r="D466" t="s">
        <v>53</v>
      </c>
      <c r="E466">
        <v>5118230000165000</v>
      </c>
      <c r="F466">
        <v>5118230000165000</v>
      </c>
      <c r="G466" t="s">
        <v>1072</v>
      </c>
      <c r="H466">
        <v>165</v>
      </c>
      <c r="I466">
        <v>6253250165</v>
      </c>
      <c r="J466" t="s">
        <v>30</v>
      </c>
      <c r="K466" t="s">
        <v>1075</v>
      </c>
      <c r="L466" t="s">
        <v>31</v>
      </c>
      <c r="M466" t="s">
        <v>31</v>
      </c>
      <c r="N466">
        <v>0</v>
      </c>
      <c r="O466" t="s">
        <v>557</v>
      </c>
      <c r="P466" t="s">
        <v>802</v>
      </c>
      <c r="Q466" t="s">
        <v>35</v>
      </c>
      <c r="R466" t="s">
        <v>61</v>
      </c>
      <c r="S466" t="s">
        <v>61</v>
      </c>
      <c r="T466">
        <v>13</v>
      </c>
      <c r="U466">
        <v>10</v>
      </c>
      <c r="V466" t="s">
        <v>31</v>
      </c>
      <c r="W466" t="s">
        <v>52</v>
      </c>
      <c r="X466" t="s">
        <v>115</v>
      </c>
      <c r="Y466">
        <v>0</v>
      </c>
      <c r="Z466" t="s">
        <v>40</v>
      </c>
      <c r="AA466">
        <v>23</v>
      </c>
    </row>
    <row r="467" spans="1:27" x14ac:dyDescent="0.25">
      <c r="A467">
        <v>467</v>
      </c>
      <c r="B467" t="s">
        <v>27</v>
      </c>
      <c r="C467">
        <v>590</v>
      </c>
      <c r="D467" t="s">
        <v>53</v>
      </c>
      <c r="E467">
        <v>5118230000150000</v>
      </c>
      <c r="F467">
        <v>5118230000150000</v>
      </c>
      <c r="G467" t="s">
        <v>1076</v>
      </c>
      <c r="H467">
        <v>150</v>
      </c>
      <c r="I467">
        <v>6253310150</v>
      </c>
      <c r="J467" t="s">
        <v>30</v>
      </c>
      <c r="K467" t="s">
        <v>1077</v>
      </c>
      <c r="L467" t="s">
        <v>31</v>
      </c>
      <c r="M467" t="s">
        <v>31</v>
      </c>
      <c r="N467">
        <v>0</v>
      </c>
      <c r="O467" t="s">
        <v>557</v>
      </c>
      <c r="P467" t="s">
        <v>1078</v>
      </c>
      <c r="Q467" t="s">
        <v>35</v>
      </c>
      <c r="R467" t="s">
        <v>31</v>
      </c>
      <c r="S467" t="s">
        <v>31</v>
      </c>
      <c r="T467">
        <v>20</v>
      </c>
      <c r="U467">
        <v>20</v>
      </c>
      <c r="V467" t="s">
        <v>31</v>
      </c>
      <c r="W467" t="s">
        <v>52</v>
      </c>
      <c r="X467" t="s">
        <v>115</v>
      </c>
      <c r="Y467">
        <v>0</v>
      </c>
      <c r="Z467" t="s">
        <v>40</v>
      </c>
      <c r="AA467">
        <v>1</v>
      </c>
    </row>
    <row r="468" spans="1:27" x14ac:dyDescent="0.25">
      <c r="A468">
        <v>468</v>
      </c>
      <c r="B468" t="s">
        <v>27</v>
      </c>
      <c r="C468">
        <v>833</v>
      </c>
      <c r="D468" t="s">
        <v>53</v>
      </c>
      <c r="E468">
        <v>5118230250020100</v>
      </c>
      <c r="F468">
        <v>5118230250020100</v>
      </c>
      <c r="G468" t="s">
        <v>1079</v>
      </c>
      <c r="H468" t="s">
        <v>1080</v>
      </c>
      <c r="I468" t="s">
        <v>31</v>
      </c>
      <c r="J468" t="s">
        <v>30</v>
      </c>
      <c r="K468" t="s">
        <v>1063</v>
      </c>
      <c r="L468" t="s">
        <v>31</v>
      </c>
      <c r="M468" t="s">
        <v>31</v>
      </c>
      <c r="N468" t="s">
        <v>31</v>
      </c>
      <c r="O468" t="s">
        <v>31</v>
      </c>
      <c r="P468" t="s">
        <v>31</v>
      </c>
      <c r="Q468" t="s">
        <v>31</v>
      </c>
      <c r="R468" t="s">
        <v>31</v>
      </c>
      <c r="S468" t="s">
        <v>31</v>
      </c>
      <c r="T468">
        <v>9</v>
      </c>
      <c r="U468">
        <v>15</v>
      </c>
      <c r="V468" t="s">
        <v>31</v>
      </c>
      <c r="W468" t="s">
        <v>31</v>
      </c>
      <c r="X468" t="s">
        <v>31</v>
      </c>
      <c r="Y468" t="s">
        <v>31</v>
      </c>
      <c r="Z468" t="s">
        <v>31</v>
      </c>
      <c r="AA468">
        <v>0</v>
      </c>
    </row>
    <row r="469" spans="1:27" x14ac:dyDescent="0.25">
      <c r="A469">
        <v>469</v>
      </c>
      <c r="B469" t="s">
        <v>27</v>
      </c>
      <c r="C469">
        <v>604</v>
      </c>
      <c r="D469" t="s">
        <v>53</v>
      </c>
      <c r="E469">
        <v>5118230000164000</v>
      </c>
      <c r="F469">
        <v>5118230000164000</v>
      </c>
      <c r="G469" t="s">
        <v>1081</v>
      </c>
      <c r="H469">
        <v>164</v>
      </c>
      <c r="I469">
        <v>6253250164</v>
      </c>
      <c r="J469" t="s">
        <v>30</v>
      </c>
      <c r="K469" t="s">
        <v>1082</v>
      </c>
      <c r="L469" t="s">
        <v>31</v>
      </c>
      <c r="M469" t="s">
        <v>31</v>
      </c>
      <c r="N469">
        <v>0</v>
      </c>
      <c r="O469" t="s">
        <v>59</v>
      </c>
      <c r="P469" t="s">
        <v>973</v>
      </c>
      <c r="Q469" t="s">
        <v>47</v>
      </c>
      <c r="R469" t="s">
        <v>61</v>
      </c>
      <c r="S469" t="s">
        <v>31</v>
      </c>
      <c r="T469">
        <v>28</v>
      </c>
      <c r="U469">
        <v>35</v>
      </c>
      <c r="V469" t="s">
        <v>37</v>
      </c>
      <c r="W469" t="s">
        <v>52</v>
      </c>
      <c r="X469" t="s">
        <v>85</v>
      </c>
      <c r="Y469">
        <v>0</v>
      </c>
      <c r="Z469" t="s">
        <v>40</v>
      </c>
      <c r="AA469">
        <v>20</v>
      </c>
    </row>
    <row r="470" spans="1:27" x14ac:dyDescent="0.25">
      <c r="A470">
        <v>470</v>
      </c>
      <c r="B470" t="s">
        <v>27</v>
      </c>
      <c r="C470">
        <v>839</v>
      </c>
      <c r="D470" t="s">
        <v>53</v>
      </c>
      <c r="E470">
        <v>5118230250080100</v>
      </c>
      <c r="F470">
        <v>5118230250080100</v>
      </c>
      <c r="G470" t="s">
        <v>1081</v>
      </c>
      <c r="H470" t="s">
        <v>1083</v>
      </c>
      <c r="I470" t="s">
        <v>31</v>
      </c>
      <c r="J470" t="s">
        <v>30</v>
      </c>
      <c r="K470" t="s">
        <v>1084</v>
      </c>
      <c r="L470" t="s">
        <v>31</v>
      </c>
      <c r="M470" t="s">
        <v>31</v>
      </c>
      <c r="N470" t="s">
        <v>31</v>
      </c>
      <c r="O470" t="s">
        <v>31</v>
      </c>
      <c r="P470" t="s">
        <v>31</v>
      </c>
      <c r="Q470" t="s">
        <v>31</v>
      </c>
      <c r="R470" t="s">
        <v>31</v>
      </c>
      <c r="S470" t="s">
        <v>31</v>
      </c>
      <c r="T470">
        <v>820</v>
      </c>
      <c r="U470">
        <v>1008</v>
      </c>
      <c r="V470" t="s">
        <v>31</v>
      </c>
      <c r="W470" t="s">
        <v>31</v>
      </c>
      <c r="X470" t="s">
        <v>31</v>
      </c>
      <c r="Y470" t="s">
        <v>31</v>
      </c>
      <c r="Z470" t="s">
        <v>31</v>
      </c>
      <c r="AA470">
        <v>0</v>
      </c>
    </row>
    <row r="471" spans="1:27" x14ac:dyDescent="0.25">
      <c r="A471">
        <v>471</v>
      </c>
      <c r="B471" t="s">
        <v>27</v>
      </c>
      <c r="C471">
        <v>838</v>
      </c>
      <c r="D471" t="s">
        <v>53</v>
      </c>
      <c r="E471">
        <v>5118230250070100</v>
      </c>
      <c r="F471">
        <v>5118230250070100</v>
      </c>
      <c r="G471" t="s">
        <v>1085</v>
      </c>
      <c r="H471" t="s">
        <v>1086</v>
      </c>
      <c r="I471" t="s">
        <v>31</v>
      </c>
      <c r="J471" t="s">
        <v>30</v>
      </c>
      <c r="K471" t="s">
        <v>1087</v>
      </c>
      <c r="L471" t="s">
        <v>31</v>
      </c>
      <c r="M471" t="s">
        <v>31</v>
      </c>
      <c r="N471" t="s">
        <v>31</v>
      </c>
      <c r="O471" t="s">
        <v>31</v>
      </c>
      <c r="P471" t="s">
        <v>31</v>
      </c>
      <c r="Q471" t="s">
        <v>31</v>
      </c>
      <c r="R471" t="s">
        <v>31</v>
      </c>
      <c r="S471" t="s">
        <v>31</v>
      </c>
      <c r="T471">
        <v>60</v>
      </c>
      <c r="U471">
        <v>91</v>
      </c>
      <c r="V471" t="s">
        <v>31</v>
      </c>
      <c r="W471" t="s">
        <v>31</v>
      </c>
      <c r="X471" t="s">
        <v>31</v>
      </c>
      <c r="Y471" t="s">
        <v>31</v>
      </c>
      <c r="Z471" t="s">
        <v>31</v>
      </c>
      <c r="AA471">
        <v>0</v>
      </c>
    </row>
    <row r="472" spans="1:27" x14ac:dyDescent="0.25">
      <c r="A472">
        <v>472</v>
      </c>
      <c r="B472" t="s">
        <v>27</v>
      </c>
      <c r="C472">
        <v>601</v>
      </c>
      <c r="D472" t="s">
        <v>53</v>
      </c>
      <c r="E472">
        <v>5118230000161000</v>
      </c>
      <c r="F472">
        <v>5118230000161000</v>
      </c>
      <c r="G472" t="s">
        <v>1088</v>
      </c>
      <c r="H472">
        <v>161</v>
      </c>
      <c r="I472">
        <v>6253250161</v>
      </c>
      <c r="J472" t="s">
        <v>30</v>
      </c>
      <c r="K472" t="s">
        <v>1089</v>
      </c>
      <c r="L472" t="s">
        <v>31</v>
      </c>
      <c r="M472" t="s">
        <v>31</v>
      </c>
      <c r="N472">
        <v>0</v>
      </c>
      <c r="O472" t="s">
        <v>557</v>
      </c>
      <c r="P472" t="s">
        <v>777</v>
      </c>
      <c r="Q472" t="s">
        <v>35</v>
      </c>
      <c r="R472" t="s">
        <v>61</v>
      </c>
      <c r="S472" t="s">
        <v>31</v>
      </c>
      <c r="T472">
        <v>160</v>
      </c>
      <c r="U472">
        <v>250</v>
      </c>
      <c r="V472" t="s">
        <v>37</v>
      </c>
      <c r="W472" t="s">
        <v>38</v>
      </c>
      <c r="X472" t="s">
        <v>115</v>
      </c>
      <c r="Y472">
        <v>0</v>
      </c>
      <c r="Z472" t="s">
        <v>40</v>
      </c>
      <c r="AA472">
        <v>23</v>
      </c>
    </row>
    <row r="473" spans="1:27" x14ac:dyDescent="0.25">
      <c r="A473">
        <v>473</v>
      </c>
      <c r="B473" t="s">
        <v>27</v>
      </c>
      <c r="C473">
        <v>822</v>
      </c>
      <c r="D473" t="s">
        <v>53</v>
      </c>
      <c r="E473">
        <v>5118230240010100</v>
      </c>
      <c r="F473">
        <v>5118230240010100</v>
      </c>
      <c r="G473" t="s">
        <v>1090</v>
      </c>
      <c r="H473" t="s">
        <v>1091</v>
      </c>
      <c r="I473" t="s">
        <v>31</v>
      </c>
      <c r="J473" t="s">
        <v>30</v>
      </c>
      <c r="K473" t="s">
        <v>1092</v>
      </c>
      <c r="L473" t="s">
        <v>31</v>
      </c>
      <c r="M473" t="s">
        <v>31</v>
      </c>
      <c r="N473" t="s">
        <v>31</v>
      </c>
      <c r="O473" t="s">
        <v>31</v>
      </c>
      <c r="P473" t="s">
        <v>31</v>
      </c>
      <c r="Q473" t="s">
        <v>31</v>
      </c>
      <c r="R473" t="s">
        <v>31</v>
      </c>
      <c r="S473" t="s">
        <v>31</v>
      </c>
      <c r="T473">
        <v>24</v>
      </c>
      <c r="U473">
        <v>31</v>
      </c>
      <c r="V473" t="s">
        <v>31</v>
      </c>
      <c r="W473" t="s">
        <v>31</v>
      </c>
      <c r="X473" t="s">
        <v>31</v>
      </c>
      <c r="Y473" t="s">
        <v>31</v>
      </c>
      <c r="Z473" t="s">
        <v>31</v>
      </c>
      <c r="AA473">
        <v>0</v>
      </c>
    </row>
    <row r="474" spans="1:27" x14ac:dyDescent="0.25">
      <c r="A474">
        <v>474</v>
      </c>
      <c r="B474" t="s">
        <v>27</v>
      </c>
      <c r="C474">
        <v>837</v>
      </c>
      <c r="D474" t="s">
        <v>53</v>
      </c>
      <c r="E474">
        <v>5118230250060100</v>
      </c>
      <c r="F474">
        <v>5118230250060100</v>
      </c>
      <c r="G474" t="s">
        <v>1093</v>
      </c>
      <c r="H474" t="s">
        <v>1094</v>
      </c>
      <c r="I474" t="s">
        <v>31</v>
      </c>
      <c r="J474" t="s">
        <v>30</v>
      </c>
      <c r="K474" t="s">
        <v>1095</v>
      </c>
      <c r="L474" t="s">
        <v>31</v>
      </c>
      <c r="M474" t="s">
        <v>31</v>
      </c>
      <c r="N474" t="s">
        <v>31</v>
      </c>
      <c r="O474" t="s">
        <v>31</v>
      </c>
      <c r="P474" t="s">
        <v>31</v>
      </c>
      <c r="Q474" t="s">
        <v>31</v>
      </c>
      <c r="R474" t="s">
        <v>31</v>
      </c>
      <c r="S474" t="s">
        <v>31</v>
      </c>
      <c r="T474">
        <v>150</v>
      </c>
      <c r="U474">
        <v>21</v>
      </c>
      <c r="V474" t="s">
        <v>31</v>
      </c>
      <c r="W474" t="s">
        <v>31</v>
      </c>
      <c r="X474" t="s">
        <v>31</v>
      </c>
      <c r="Y474" t="s">
        <v>31</v>
      </c>
      <c r="Z474" t="s">
        <v>31</v>
      </c>
      <c r="AA474">
        <v>0</v>
      </c>
    </row>
    <row r="475" spans="1:27" x14ac:dyDescent="0.25">
      <c r="A475">
        <v>475</v>
      </c>
      <c r="B475" t="s">
        <v>27</v>
      </c>
      <c r="C475">
        <v>602</v>
      </c>
      <c r="D475" t="s">
        <v>53</v>
      </c>
      <c r="E475">
        <v>5118230000162000</v>
      </c>
      <c r="F475">
        <v>5118230000162000</v>
      </c>
      <c r="G475" t="s">
        <v>1096</v>
      </c>
      <c r="H475">
        <v>162</v>
      </c>
      <c r="I475">
        <v>6253250162</v>
      </c>
      <c r="J475" t="s">
        <v>30</v>
      </c>
      <c r="K475" t="s">
        <v>1097</v>
      </c>
      <c r="L475" t="s">
        <v>31</v>
      </c>
      <c r="M475" t="s">
        <v>31</v>
      </c>
      <c r="N475">
        <v>0</v>
      </c>
      <c r="O475" t="s">
        <v>557</v>
      </c>
      <c r="P475" t="s">
        <v>802</v>
      </c>
      <c r="Q475" t="s">
        <v>35</v>
      </c>
      <c r="R475" t="s">
        <v>61</v>
      </c>
      <c r="S475" t="s">
        <v>61</v>
      </c>
      <c r="T475">
        <v>80</v>
      </c>
      <c r="U475">
        <v>70</v>
      </c>
      <c r="V475" t="s">
        <v>31</v>
      </c>
      <c r="W475" t="s">
        <v>52</v>
      </c>
      <c r="X475" t="s">
        <v>115</v>
      </c>
      <c r="Y475">
        <v>0</v>
      </c>
      <c r="Z475" t="s">
        <v>40</v>
      </c>
      <c r="AA475">
        <v>0</v>
      </c>
    </row>
    <row r="476" spans="1:27" x14ac:dyDescent="0.25">
      <c r="A476">
        <v>476</v>
      </c>
      <c r="B476" t="s">
        <v>27</v>
      </c>
      <c r="C476">
        <v>836</v>
      </c>
      <c r="D476" t="s">
        <v>53</v>
      </c>
      <c r="E476">
        <v>5118230250050100</v>
      </c>
      <c r="F476">
        <v>5118230250050100</v>
      </c>
      <c r="G476" t="s">
        <v>1098</v>
      </c>
      <c r="H476" t="s">
        <v>1099</v>
      </c>
      <c r="I476" t="s">
        <v>31</v>
      </c>
      <c r="J476" t="s">
        <v>30</v>
      </c>
      <c r="K476" t="s">
        <v>1095</v>
      </c>
      <c r="L476" t="s">
        <v>31</v>
      </c>
      <c r="M476" t="s">
        <v>31</v>
      </c>
      <c r="N476" t="s">
        <v>31</v>
      </c>
      <c r="O476" t="s">
        <v>31</v>
      </c>
      <c r="P476" t="s">
        <v>31</v>
      </c>
      <c r="Q476" t="s">
        <v>31</v>
      </c>
      <c r="R476" t="s">
        <v>31</v>
      </c>
      <c r="S476" t="s">
        <v>31</v>
      </c>
      <c r="T476">
        <v>8</v>
      </c>
      <c r="U476">
        <v>14</v>
      </c>
      <c r="V476" t="s">
        <v>31</v>
      </c>
      <c r="W476" t="s">
        <v>31</v>
      </c>
      <c r="X476" t="s">
        <v>31</v>
      </c>
      <c r="Y476" t="s">
        <v>31</v>
      </c>
      <c r="Z476" t="s">
        <v>31</v>
      </c>
      <c r="AA476">
        <v>0</v>
      </c>
    </row>
    <row r="477" spans="1:27" x14ac:dyDescent="0.25">
      <c r="A477">
        <v>477</v>
      </c>
      <c r="B477" t="s">
        <v>27</v>
      </c>
      <c r="C477">
        <v>591</v>
      </c>
      <c r="D477" t="s">
        <v>53</v>
      </c>
      <c r="E477">
        <v>5118230000151000</v>
      </c>
      <c r="F477">
        <v>5118230000151000</v>
      </c>
      <c r="G477" t="s">
        <v>1100</v>
      </c>
      <c r="H477">
        <v>151</v>
      </c>
      <c r="I477">
        <v>6253310151</v>
      </c>
      <c r="J477" t="s">
        <v>30</v>
      </c>
      <c r="K477" t="s">
        <v>1101</v>
      </c>
      <c r="L477" t="s">
        <v>31</v>
      </c>
      <c r="M477" t="s">
        <v>31</v>
      </c>
      <c r="N477">
        <v>0</v>
      </c>
      <c r="O477" t="s">
        <v>557</v>
      </c>
      <c r="P477" t="s">
        <v>777</v>
      </c>
      <c r="Q477" t="s">
        <v>35</v>
      </c>
      <c r="R477" t="s">
        <v>61</v>
      </c>
      <c r="S477" t="s">
        <v>61</v>
      </c>
      <c r="T477">
        <v>24</v>
      </c>
      <c r="U477">
        <v>1</v>
      </c>
      <c r="V477" t="s">
        <v>31</v>
      </c>
      <c r="W477" t="s">
        <v>52</v>
      </c>
      <c r="X477" t="s">
        <v>115</v>
      </c>
      <c r="Y477">
        <v>0</v>
      </c>
      <c r="Z477" t="s">
        <v>40</v>
      </c>
      <c r="AA477">
        <v>0</v>
      </c>
    </row>
    <row r="478" spans="1:27" x14ac:dyDescent="0.25">
      <c r="A478">
        <v>478</v>
      </c>
      <c r="B478" t="s">
        <v>27</v>
      </c>
      <c r="C478">
        <v>823</v>
      </c>
      <c r="D478" t="s">
        <v>53</v>
      </c>
      <c r="E478">
        <v>5118230240020100</v>
      </c>
      <c r="F478">
        <v>5118230240020100</v>
      </c>
      <c r="G478" t="s">
        <v>1102</v>
      </c>
      <c r="H478" t="s">
        <v>1103</v>
      </c>
      <c r="I478" t="s">
        <v>31</v>
      </c>
      <c r="J478" t="s">
        <v>30</v>
      </c>
      <c r="K478" t="s">
        <v>1092</v>
      </c>
      <c r="L478" t="s">
        <v>31</v>
      </c>
      <c r="M478" t="s">
        <v>31</v>
      </c>
      <c r="N478" t="s">
        <v>31</v>
      </c>
      <c r="O478" t="s">
        <v>31</v>
      </c>
      <c r="P478" t="s">
        <v>31</v>
      </c>
      <c r="Q478" t="s">
        <v>31</v>
      </c>
      <c r="R478" t="s">
        <v>31</v>
      </c>
      <c r="S478" t="s">
        <v>31</v>
      </c>
      <c r="T478">
        <v>9</v>
      </c>
      <c r="U478">
        <v>14</v>
      </c>
      <c r="V478" t="s">
        <v>31</v>
      </c>
      <c r="W478" t="s">
        <v>31</v>
      </c>
      <c r="X478" t="s">
        <v>31</v>
      </c>
      <c r="Y478" t="s">
        <v>31</v>
      </c>
      <c r="Z478" t="s">
        <v>31</v>
      </c>
      <c r="AA478">
        <v>0</v>
      </c>
    </row>
    <row r="479" spans="1:27" x14ac:dyDescent="0.25">
      <c r="A479">
        <v>479</v>
      </c>
      <c r="B479" t="s">
        <v>27</v>
      </c>
      <c r="C479">
        <v>835</v>
      </c>
      <c r="D479" t="s">
        <v>53</v>
      </c>
      <c r="E479">
        <v>5118230250040100</v>
      </c>
      <c r="F479">
        <v>5118230250040100</v>
      </c>
      <c r="G479" t="s">
        <v>775</v>
      </c>
      <c r="H479" t="s">
        <v>1104</v>
      </c>
      <c r="I479" t="s">
        <v>31</v>
      </c>
      <c r="J479" t="s">
        <v>30</v>
      </c>
      <c r="K479" t="s">
        <v>1095</v>
      </c>
      <c r="L479" t="s">
        <v>31</v>
      </c>
      <c r="M479" t="s">
        <v>31</v>
      </c>
      <c r="N479" t="s">
        <v>31</v>
      </c>
      <c r="O479" t="s">
        <v>31</v>
      </c>
      <c r="P479" t="s">
        <v>31</v>
      </c>
      <c r="Q479" t="s">
        <v>31</v>
      </c>
      <c r="R479" t="s">
        <v>31</v>
      </c>
      <c r="S479" t="s">
        <v>31</v>
      </c>
      <c r="T479">
        <v>21</v>
      </c>
      <c r="U479">
        <v>38</v>
      </c>
      <c r="V479" t="s">
        <v>31</v>
      </c>
      <c r="W479" t="s">
        <v>31</v>
      </c>
      <c r="X479" t="s">
        <v>31</v>
      </c>
      <c r="Y479" t="s">
        <v>31</v>
      </c>
      <c r="Z479" t="s">
        <v>31</v>
      </c>
      <c r="AA479">
        <v>0</v>
      </c>
    </row>
    <row r="480" spans="1:27" x14ac:dyDescent="0.25">
      <c r="A480">
        <v>486</v>
      </c>
      <c r="B480" t="s">
        <v>27</v>
      </c>
      <c r="C480">
        <v>827</v>
      </c>
      <c r="D480" t="s">
        <v>53</v>
      </c>
      <c r="E480">
        <v>5118230240060100</v>
      </c>
      <c r="F480">
        <v>5118230240060100</v>
      </c>
      <c r="G480" t="s">
        <v>1106</v>
      </c>
      <c r="H480" t="s">
        <v>1107</v>
      </c>
      <c r="I480" t="s">
        <v>31</v>
      </c>
      <c r="J480" t="s">
        <v>30</v>
      </c>
      <c r="K480" t="s">
        <v>1105</v>
      </c>
      <c r="L480" t="s">
        <v>31</v>
      </c>
      <c r="M480" t="s">
        <v>31</v>
      </c>
      <c r="N480" t="s">
        <v>31</v>
      </c>
      <c r="O480" t="s">
        <v>31</v>
      </c>
      <c r="P480" t="s">
        <v>31</v>
      </c>
      <c r="Q480" t="s">
        <v>31</v>
      </c>
      <c r="R480" t="s">
        <v>31</v>
      </c>
      <c r="S480" t="s">
        <v>31</v>
      </c>
      <c r="T480">
        <v>33</v>
      </c>
      <c r="U480">
        <v>44</v>
      </c>
      <c r="V480" t="s">
        <v>31</v>
      </c>
      <c r="W480" t="s">
        <v>31</v>
      </c>
      <c r="X480" t="s">
        <v>31</v>
      </c>
      <c r="Y480" t="s">
        <v>31</v>
      </c>
      <c r="Z480" t="s">
        <v>31</v>
      </c>
      <c r="AA480">
        <v>0</v>
      </c>
    </row>
    <row r="481" spans="1:27" x14ac:dyDescent="0.25">
      <c r="A481">
        <v>487</v>
      </c>
      <c r="B481" t="s">
        <v>27</v>
      </c>
      <c r="C481">
        <v>828</v>
      </c>
      <c r="D481" t="s">
        <v>53</v>
      </c>
      <c r="E481">
        <v>5118230240070100</v>
      </c>
      <c r="F481">
        <v>5118230240070100</v>
      </c>
      <c r="G481" t="s">
        <v>1108</v>
      </c>
      <c r="H481" t="s">
        <v>1109</v>
      </c>
      <c r="I481" t="s">
        <v>31</v>
      </c>
      <c r="J481" t="s">
        <v>30</v>
      </c>
      <c r="K481" t="s">
        <v>1105</v>
      </c>
      <c r="L481" t="s">
        <v>31</v>
      </c>
      <c r="M481" t="s">
        <v>31</v>
      </c>
      <c r="N481" t="s">
        <v>31</v>
      </c>
      <c r="O481" t="s">
        <v>31</v>
      </c>
      <c r="P481" t="s">
        <v>31</v>
      </c>
      <c r="Q481" t="s">
        <v>31</v>
      </c>
      <c r="R481" t="s">
        <v>31</v>
      </c>
      <c r="S481" t="s">
        <v>31</v>
      </c>
      <c r="T481">
        <v>36</v>
      </c>
      <c r="U481">
        <v>63</v>
      </c>
      <c r="V481" t="s">
        <v>31</v>
      </c>
      <c r="W481" t="s">
        <v>31</v>
      </c>
      <c r="X481" t="s">
        <v>31</v>
      </c>
      <c r="Y481" t="s">
        <v>31</v>
      </c>
      <c r="Z481" t="s">
        <v>31</v>
      </c>
      <c r="AA481">
        <v>0</v>
      </c>
    </row>
    <row r="482" spans="1:27" x14ac:dyDescent="0.25">
      <c r="A482">
        <v>488</v>
      </c>
      <c r="B482" t="s">
        <v>27</v>
      </c>
      <c r="C482">
        <v>595</v>
      </c>
      <c r="D482" t="s">
        <v>53</v>
      </c>
      <c r="E482">
        <v>5118230000155000</v>
      </c>
      <c r="F482">
        <v>5118230000155000</v>
      </c>
      <c r="G482" t="s">
        <v>1110</v>
      </c>
      <c r="H482">
        <v>155</v>
      </c>
      <c r="I482">
        <v>6253310155</v>
      </c>
      <c r="J482" t="s">
        <v>30</v>
      </c>
      <c r="K482" t="s">
        <v>1111</v>
      </c>
      <c r="L482" t="s">
        <v>31</v>
      </c>
      <c r="M482" t="s">
        <v>31</v>
      </c>
      <c r="N482">
        <v>0</v>
      </c>
      <c r="O482" t="s">
        <v>1112</v>
      </c>
      <c r="P482" t="s">
        <v>777</v>
      </c>
      <c r="Q482" t="s">
        <v>35</v>
      </c>
      <c r="R482" t="s">
        <v>61</v>
      </c>
      <c r="S482" t="s">
        <v>31</v>
      </c>
      <c r="T482">
        <v>253</v>
      </c>
      <c r="U482">
        <v>315</v>
      </c>
      <c r="V482" t="s">
        <v>37</v>
      </c>
      <c r="W482" t="s">
        <v>38</v>
      </c>
      <c r="X482" t="s">
        <v>411</v>
      </c>
      <c r="Y482">
        <v>0</v>
      </c>
      <c r="Z482" t="s">
        <v>40</v>
      </c>
      <c r="AA482">
        <v>5</v>
      </c>
    </row>
    <row r="483" spans="1:27" x14ac:dyDescent="0.25">
      <c r="A483">
        <v>489</v>
      </c>
      <c r="B483" t="s">
        <v>27</v>
      </c>
      <c r="C483">
        <v>825</v>
      </c>
      <c r="D483" t="s">
        <v>53</v>
      </c>
      <c r="E483">
        <v>5118230240040100</v>
      </c>
      <c r="F483">
        <v>5118230240040100</v>
      </c>
      <c r="G483" t="s">
        <v>1113</v>
      </c>
      <c r="H483" t="s">
        <v>1114</v>
      </c>
      <c r="I483" t="s">
        <v>31</v>
      </c>
      <c r="J483" t="s">
        <v>30</v>
      </c>
      <c r="K483" t="s">
        <v>1115</v>
      </c>
      <c r="L483" t="s">
        <v>31</v>
      </c>
      <c r="M483" t="s">
        <v>31</v>
      </c>
      <c r="N483" t="s">
        <v>31</v>
      </c>
      <c r="O483" t="s">
        <v>31</v>
      </c>
      <c r="P483" t="s">
        <v>31</v>
      </c>
      <c r="Q483" t="s">
        <v>31</v>
      </c>
      <c r="R483" t="s">
        <v>31</v>
      </c>
      <c r="S483" t="s">
        <v>31</v>
      </c>
      <c r="T483">
        <v>60</v>
      </c>
      <c r="U483">
        <v>108</v>
      </c>
      <c r="V483" t="s">
        <v>31</v>
      </c>
      <c r="W483" t="s">
        <v>31</v>
      </c>
      <c r="X483" t="s">
        <v>31</v>
      </c>
      <c r="Y483" t="s">
        <v>31</v>
      </c>
      <c r="Z483" t="s">
        <v>31</v>
      </c>
      <c r="AA483">
        <v>0</v>
      </c>
    </row>
    <row r="484" spans="1:27" x14ac:dyDescent="0.25">
      <c r="A484">
        <v>490</v>
      </c>
      <c r="B484" t="s">
        <v>27</v>
      </c>
      <c r="C484">
        <v>592</v>
      </c>
      <c r="D484" t="s">
        <v>53</v>
      </c>
      <c r="E484">
        <v>5118230000152000</v>
      </c>
      <c r="F484">
        <v>5118230000152000</v>
      </c>
      <c r="G484" t="s">
        <v>1116</v>
      </c>
      <c r="H484">
        <v>152</v>
      </c>
      <c r="I484">
        <v>6253310152</v>
      </c>
      <c r="J484" t="s">
        <v>30</v>
      </c>
      <c r="K484" t="s">
        <v>1117</v>
      </c>
      <c r="L484" t="s">
        <v>31</v>
      </c>
      <c r="M484" t="s">
        <v>31</v>
      </c>
      <c r="N484">
        <v>0</v>
      </c>
      <c r="O484" t="s">
        <v>135</v>
      </c>
      <c r="P484" t="s">
        <v>973</v>
      </c>
      <c r="Q484" t="s">
        <v>35</v>
      </c>
      <c r="R484" t="s">
        <v>61</v>
      </c>
      <c r="S484" t="s">
        <v>61</v>
      </c>
      <c r="T484">
        <v>61</v>
      </c>
      <c r="U484">
        <v>1</v>
      </c>
      <c r="V484" t="s">
        <v>31</v>
      </c>
      <c r="W484" t="s">
        <v>52</v>
      </c>
      <c r="X484" t="s">
        <v>85</v>
      </c>
      <c r="Y484">
        <v>0</v>
      </c>
      <c r="Z484" t="s">
        <v>40</v>
      </c>
      <c r="AA484">
        <v>5</v>
      </c>
    </row>
    <row r="485" spans="1:27" x14ac:dyDescent="0.25">
      <c r="A485">
        <v>491</v>
      </c>
      <c r="B485" t="s">
        <v>27</v>
      </c>
      <c r="C485">
        <v>821</v>
      </c>
      <c r="D485" t="s">
        <v>53</v>
      </c>
      <c r="E485">
        <v>5118230240000100</v>
      </c>
      <c r="F485">
        <v>5118230240000100</v>
      </c>
      <c r="G485" t="s">
        <v>1118</v>
      </c>
      <c r="H485" t="s">
        <v>1119</v>
      </c>
      <c r="I485" t="s">
        <v>31</v>
      </c>
      <c r="J485" t="s">
        <v>30</v>
      </c>
      <c r="K485" t="s">
        <v>1120</v>
      </c>
      <c r="L485" t="s">
        <v>31</v>
      </c>
      <c r="M485" t="s">
        <v>31</v>
      </c>
      <c r="N485" t="s">
        <v>31</v>
      </c>
      <c r="O485" t="s">
        <v>31</v>
      </c>
      <c r="P485" t="s">
        <v>31</v>
      </c>
      <c r="Q485" t="s">
        <v>31</v>
      </c>
      <c r="R485" t="s">
        <v>31</v>
      </c>
      <c r="S485" t="s">
        <v>31</v>
      </c>
      <c r="T485">
        <v>90</v>
      </c>
      <c r="U485">
        <v>121</v>
      </c>
      <c r="V485" t="s">
        <v>31</v>
      </c>
      <c r="W485" t="s">
        <v>31</v>
      </c>
      <c r="X485" t="s">
        <v>31</v>
      </c>
      <c r="Y485" t="s">
        <v>31</v>
      </c>
      <c r="Z485" t="s">
        <v>31</v>
      </c>
      <c r="AA485">
        <v>0</v>
      </c>
    </row>
    <row r="486" spans="1:27" x14ac:dyDescent="0.25">
      <c r="A486">
        <v>492</v>
      </c>
      <c r="B486" t="s">
        <v>27</v>
      </c>
      <c r="C486">
        <v>579</v>
      </c>
      <c r="D486" t="s">
        <v>28</v>
      </c>
      <c r="E486">
        <v>5118230000139000</v>
      </c>
      <c r="F486">
        <v>5118230000139000</v>
      </c>
      <c r="G486" t="s">
        <v>1121</v>
      </c>
      <c r="H486">
        <v>139</v>
      </c>
      <c r="I486">
        <v>6253370139</v>
      </c>
      <c r="J486" t="s">
        <v>30</v>
      </c>
      <c r="K486" t="s">
        <v>1122</v>
      </c>
      <c r="L486" t="s">
        <v>31</v>
      </c>
      <c r="M486" t="s">
        <v>31</v>
      </c>
      <c r="N486">
        <v>0</v>
      </c>
      <c r="O486" t="s">
        <v>33</v>
      </c>
      <c r="P486" t="s">
        <v>31</v>
      </c>
      <c r="Q486" t="s">
        <v>47</v>
      </c>
      <c r="R486" t="s">
        <v>36</v>
      </c>
      <c r="S486" t="s">
        <v>36</v>
      </c>
      <c r="T486">
        <v>125</v>
      </c>
      <c r="U486">
        <v>1</v>
      </c>
      <c r="V486" t="s">
        <v>37</v>
      </c>
      <c r="W486" t="s">
        <v>38</v>
      </c>
      <c r="X486" t="s">
        <v>39</v>
      </c>
      <c r="Y486">
        <v>0</v>
      </c>
      <c r="Z486" t="s">
        <v>40</v>
      </c>
      <c r="AA486">
        <v>0</v>
      </c>
    </row>
    <row r="487" spans="1:27" x14ac:dyDescent="0.25">
      <c r="A487">
        <v>494</v>
      </c>
      <c r="B487" t="s">
        <v>27</v>
      </c>
      <c r="C487">
        <v>581</v>
      </c>
      <c r="D487" t="s">
        <v>28</v>
      </c>
      <c r="E487">
        <v>5118230000141000</v>
      </c>
      <c r="F487">
        <v>5118230000141000</v>
      </c>
      <c r="G487" t="s">
        <v>1123</v>
      </c>
      <c r="H487">
        <v>141</v>
      </c>
      <c r="I487">
        <v>6253370141</v>
      </c>
      <c r="J487" t="s">
        <v>30</v>
      </c>
      <c r="K487" t="s">
        <v>1124</v>
      </c>
      <c r="L487" t="s">
        <v>31</v>
      </c>
      <c r="M487" t="s">
        <v>31</v>
      </c>
      <c r="N487">
        <v>0</v>
      </c>
      <c r="O487" t="s">
        <v>688</v>
      </c>
      <c r="P487" t="s">
        <v>31</v>
      </c>
      <c r="Q487" t="s">
        <v>47</v>
      </c>
      <c r="R487" t="s">
        <v>36</v>
      </c>
      <c r="S487" t="s">
        <v>36</v>
      </c>
      <c r="T487">
        <v>45</v>
      </c>
      <c r="U487">
        <v>1</v>
      </c>
      <c r="V487" t="s">
        <v>37</v>
      </c>
      <c r="W487" t="s">
        <v>52</v>
      </c>
      <c r="X487" t="s">
        <v>39</v>
      </c>
      <c r="Y487">
        <v>0</v>
      </c>
      <c r="Z487" t="s">
        <v>40</v>
      </c>
      <c r="AA487">
        <v>0</v>
      </c>
    </row>
    <row r="488" spans="1:27" x14ac:dyDescent="0.25">
      <c r="A488">
        <v>495</v>
      </c>
      <c r="B488" t="s">
        <v>27</v>
      </c>
      <c r="C488">
        <v>916</v>
      </c>
      <c r="D488" t="s">
        <v>28</v>
      </c>
      <c r="E488">
        <v>5118230420010100</v>
      </c>
      <c r="F488">
        <v>5118230420010100</v>
      </c>
      <c r="G488" t="s">
        <v>1125</v>
      </c>
      <c r="H488" t="s">
        <v>1126</v>
      </c>
      <c r="I488" t="s">
        <v>31</v>
      </c>
      <c r="J488" t="s">
        <v>30</v>
      </c>
      <c r="K488" t="s">
        <v>1127</v>
      </c>
      <c r="L488" t="s">
        <v>31</v>
      </c>
      <c r="M488" t="s">
        <v>31</v>
      </c>
      <c r="N488" t="s">
        <v>31</v>
      </c>
      <c r="O488" t="s">
        <v>31</v>
      </c>
      <c r="P488" t="s">
        <v>31</v>
      </c>
      <c r="Q488" t="s">
        <v>31</v>
      </c>
      <c r="R488" t="s">
        <v>31</v>
      </c>
      <c r="S488" t="s">
        <v>31</v>
      </c>
      <c r="T488">
        <v>23</v>
      </c>
      <c r="U488">
        <v>29</v>
      </c>
      <c r="V488" t="s">
        <v>31</v>
      </c>
      <c r="W488" t="s">
        <v>31</v>
      </c>
      <c r="X488" t="s">
        <v>31</v>
      </c>
      <c r="Y488" t="s">
        <v>31</v>
      </c>
      <c r="Z488" t="s">
        <v>31</v>
      </c>
      <c r="AA488">
        <v>0</v>
      </c>
    </row>
    <row r="489" spans="1:27" x14ac:dyDescent="0.25">
      <c r="A489">
        <v>496</v>
      </c>
      <c r="B489" t="s">
        <v>27</v>
      </c>
      <c r="C489">
        <v>583</v>
      </c>
      <c r="D489" t="s">
        <v>53</v>
      </c>
      <c r="E489">
        <v>5118230000143000</v>
      </c>
      <c r="F489">
        <v>5118230000143000</v>
      </c>
      <c r="G489" t="s">
        <v>1128</v>
      </c>
      <c r="H489">
        <v>143</v>
      </c>
      <c r="I489">
        <v>6253370143</v>
      </c>
      <c r="J489" t="s">
        <v>30</v>
      </c>
      <c r="K489" t="s">
        <v>1129</v>
      </c>
      <c r="L489" t="s">
        <v>31</v>
      </c>
      <c r="M489" t="s">
        <v>31</v>
      </c>
      <c r="N489">
        <v>0</v>
      </c>
      <c r="O489" t="s">
        <v>67</v>
      </c>
      <c r="P489" t="s">
        <v>1130</v>
      </c>
      <c r="Q489" t="s">
        <v>47</v>
      </c>
      <c r="R489" t="s">
        <v>61</v>
      </c>
      <c r="S489" t="s">
        <v>61</v>
      </c>
      <c r="T489">
        <v>43</v>
      </c>
      <c r="U489">
        <v>1</v>
      </c>
      <c r="V489" t="s">
        <v>37</v>
      </c>
      <c r="W489" t="s">
        <v>52</v>
      </c>
      <c r="X489" t="s">
        <v>115</v>
      </c>
      <c r="Y489">
        <v>0</v>
      </c>
      <c r="Z489" t="s">
        <v>166</v>
      </c>
      <c r="AA489">
        <v>0</v>
      </c>
    </row>
    <row r="490" spans="1:27" x14ac:dyDescent="0.25">
      <c r="A490">
        <v>497</v>
      </c>
      <c r="B490" t="s">
        <v>27</v>
      </c>
      <c r="C490">
        <v>915</v>
      </c>
      <c r="D490" t="s">
        <v>53</v>
      </c>
      <c r="E490">
        <v>5118230420000100</v>
      </c>
      <c r="F490">
        <v>5118230420000100</v>
      </c>
      <c r="G490" t="s">
        <v>1128</v>
      </c>
      <c r="H490" t="s">
        <v>1131</v>
      </c>
      <c r="I490" t="s">
        <v>31</v>
      </c>
      <c r="J490" t="s">
        <v>30</v>
      </c>
      <c r="K490" t="s">
        <v>1132</v>
      </c>
      <c r="L490" t="s">
        <v>31</v>
      </c>
      <c r="M490" t="s">
        <v>31</v>
      </c>
      <c r="N490" t="s">
        <v>31</v>
      </c>
      <c r="O490" t="s">
        <v>31</v>
      </c>
      <c r="P490" t="s">
        <v>31</v>
      </c>
      <c r="Q490" t="s">
        <v>31</v>
      </c>
      <c r="R490" t="s">
        <v>31</v>
      </c>
      <c r="S490" t="s">
        <v>31</v>
      </c>
      <c r="T490">
        <v>43</v>
      </c>
      <c r="U490">
        <v>53</v>
      </c>
      <c r="V490" t="s">
        <v>31</v>
      </c>
      <c r="W490" t="s">
        <v>31</v>
      </c>
      <c r="X490" t="s">
        <v>31</v>
      </c>
      <c r="Y490" t="s">
        <v>31</v>
      </c>
      <c r="Z490" t="s">
        <v>31</v>
      </c>
      <c r="AA490">
        <v>0</v>
      </c>
    </row>
    <row r="491" spans="1:27" x14ac:dyDescent="0.25">
      <c r="A491">
        <v>498</v>
      </c>
      <c r="B491" t="s">
        <v>27</v>
      </c>
      <c r="C491">
        <v>582</v>
      </c>
      <c r="D491" t="s">
        <v>28</v>
      </c>
      <c r="E491">
        <v>5118230000142000</v>
      </c>
      <c r="F491">
        <v>5118230000142000</v>
      </c>
      <c r="G491" t="s">
        <v>1133</v>
      </c>
      <c r="H491">
        <v>142</v>
      </c>
      <c r="I491">
        <v>6253370142</v>
      </c>
      <c r="J491" t="s">
        <v>30</v>
      </c>
      <c r="K491" t="s">
        <v>1134</v>
      </c>
      <c r="L491" t="s">
        <v>31</v>
      </c>
      <c r="M491" t="s">
        <v>31</v>
      </c>
      <c r="N491">
        <v>0</v>
      </c>
      <c r="O491" t="s">
        <v>59</v>
      </c>
      <c r="P491" t="s">
        <v>31</v>
      </c>
      <c r="Q491" t="s">
        <v>47</v>
      </c>
      <c r="R491" t="s">
        <v>36</v>
      </c>
      <c r="S491" t="s">
        <v>36</v>
      </c>
      <c r="T491">
        <v>125</v>
      </c>
      <c r="U491">
        <v>1</v>
      </c>
      <c r="V491" t="s">
        <v>38</v>
      </c>
      <c r="W491" t="s">
        <v>38</v>
      </c>
      <c r="X491" t="s">
        <v>39</v>
      </c>
      <c r="Y491">
        <v>0</v>
      </c>
      <c r="Z491" t="s">
        <v>40</v>
      </c>
      <c r="AA491"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FAF1E-AA24-42BB-BD8E-9AF414B03882}">
  <dimension ref="A1:G7"/>
  <sheetViews>
    <sheetView workbookViewId="0">
      <selection activeCell="E2" sqref="E2:G6"/>
    </sheetView>
  </sheetViews>
  <sheetFormatPr defaultRowHeight="13.8" x14ac:dyDescent="0.25"/>
  <cols>
    <col min="5" max="5" width="12.77734375" bestFit="1" customWidth="1"/>
    <col min="6" max="6" width="11.6640625" bestFit="1" customWidth="1"/>
    <col min="7" max="7" width="9.6640625" customWidth="1"/>
  </cols>
  <sheetData>
    <row r="1" spans="1:7" x14ac:dyDescent="0.25">
      <c r="A1" t="s">
        <v>1135</v>
      </c>
      <c r="B1" t="s">
        <v>1136</v>
      </c>
      <c r="C1" t="s">
        <v>1137</v>
      </c>
      <c r="D1" t="s">
        <v>1138</v>
      </c>
      <c r="E1" t="s">
        <v>1139</v>
      </c>
      <c r="F1" t="s">
        <v>1140</v>
      </c>
      <c r="G1" t="s">
        <v>1141</v>
      </c>
    </row>
    <row r="2" spans="1:7" x14ac:dyDescent="0.25">
      <c r="A2">
        <v>0</v>
      </c>
      <c r="B2">
        <v>1</v>
      </c>
      <c r="C2">
        <v>5034</v>
      </c>
      <c r="D2">
        <v>228</v>
      </c>
      <c r="E2" s="1">
        <f>C2/$C$7</f>
        <v>0.14730927925555262</v>
      </c>
      <c r="F2" s="1">
        <f>D2/$D$7</f>
        <v>0.46530612244897956</v>
      </c>
      <c r="G2" s="2">
        <f>F2/E2</f>
        <v>3.1587020505460823</v>
      </c>
    </row>
    <row r="3" spans="1:7" x14ac:dyDescent="0.25">
      <c r="A3">
        <v>1</v>
      </c>
      <c r="B3">
        <v>2</v>
      </c>
      <c r="C3">
        <v>8003</v>
      </c>
      <c r="D3">
        <v>205</v>
      </c>
      <c r="E3" s="1">
        <f t="shared" ref="E3:E6" si="0">C3/$C$7</f>
        <v>0.23419073537588153</v>
      </c>
      <c r="F3" s="1">
        <f t="shared" ref="F3:F6" si="1">D3/$D$7</f>
        <v>0.41836734693877553</v>
      </c>
      <c r="G3" s="2">
        <f t="shared" ref="G3:G6" si="2">F3/E3</f>
        <v>1.7864385039283739</v>
      </c>
    </row>
    <row r="4" spans="1:7" x14ac:dyDescent="0.25">
      <c r="A4">
        <v>2</v>
      </c>
      <c r="B4">
        <v>3</v>
      </c>
      <c r="C4">
        <v>9377</v>
      </c>
      <c r="D4">
        <v>48</v>
      </c>
      <c r="E4" s="1">
        <f t="shared" si="0"/>
        <v>0.27439791648377376</v>
      </c>
      <c r="F4" s="1">
        <f t="shared" si="1"/>
        <v>9.7959183673469383E-2</v>
      </c>
      <c r="G4" s="2">
        <f t="shared" si="2"/>
        <v>0.35699682027017904</v>
      </c>
    </row>
    <row r="5" spans="1:7" x14ac:dyDescent="0.25">
      <c r="A5">
        <v>3</v>
      </c>
      <c r="B5">
        <v>4</v>
      </c>
      <c r="C5">
        <v>7766</v>
      </c>
      <c r="D5">
        <v>8</v>
      </c>
      <c r="E5" s="1">
        <f t="shared" si="0"/>
        <v>0.22725543557779534</v>
      </c>
      <c r="F5" s="1">
        <f t="shared" si="1"/>
        <v>1.6326530612244899E-2</v>
      </c>
      <c r="G5" s="2">
        <f t="shared" si="2"/>
        <v>7.1842200696915395E-2</v>
      </c>
    </row>
    <row r="6" spans="1:7" x14ac:dyDescent="0.25">
      <c r="A6">
        <v>4</v>
      </c>
      <c r="B6">
        <v>5</v>
      </c>
      <c r="C6">
        <v>3993</v>
      </c>
      <c r="D6">
        <v>1</v>
      </c>
      <c r="E6" s="1">
        <f t="shared" si="0"/>
        <v>0.11684663330699675</v>
      </c>
      <c r="F6" s="1">
        <f t="shared" si="1"/>
        <v>2.0408163265306124E-3</v>
      </c>
      <c r="G6" s="2">
        <f t="shared" si="2"/>
        <v>1.7465769177693619E-2</v>
      </c>
    </row>
    <row r="7" spans="1:7" x14ac:dyDescent="0.25">
      <c r="C7">
        <f>SUM(C2:C6)</f>
        <v>34173</v>
      </c>
      <c r="D7">
        <f>SUM(D2:D6)</f>
        <v>490</v>
      </c>
      <c r="E7">
        <f t="shared" ref="E7:F7" si="3">SUM(E2:E6)</f>
        <v>1</v>
      </c>
      <c r="F7">
        <f t="shared" si="3"/>
        <v>0.99999999999999989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shujie cao</dc:creator>
  <cp:lastModifiedBy>shujie cao</cp:lastModifiedBy>
  <dcterms:created xsi:type="dcterms:W3CDTF">2026-01-16T04:19:06Z</dcterms:created>
  <dcterms:modified xsi:type="dcterms:W3CDTF">2026-01-16T08:23:28Z</dcterms:modified>
</cp:coreProperties>
</file>